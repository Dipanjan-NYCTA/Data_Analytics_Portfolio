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com\Downloads\"/>
    </mc:Choice>
  </mc:AlternateContent>
  <xr:revisionPtr revIDLastSave="0" documentId="13_ncr:1_{D3CB20DD-F5F4-427D-8A63-F09BC9B38B53}" xr6:coauthVersionLast="47" xr6:coauthVersionMax="47" xr10:uidLastSave="{00000000-0000-0000-0000-000000000000}"/>
  <bookViews>
    <workbookView xWindow="-108" yWindow="-108" windowWidth="23256" windowHeight="12456" tabRatio="500" firstSheet="2" activeTab="4" xr2:uid="{00000000-000D-0000-FFFF-FFFF00000000}"/>
  </bookViews>
  <sheets>
    <sheet name="Cover" sheetId="1" r:id="rId1"/>
    <sheet name="Corp_Database" sheetId="2" r:id="rId2"/>
    <sheet name="Dept_KPI_Table" sheetId="3" r:id="rId3"/>
    <sheet name="Practice_IFS_SWITCH_IFERROR" sheetId="4" r:id="rId4"/>
    <sheet name="Practice_DFunctions" sheetId="5" r:id="rId5"/>
    <sheet name="Practice_Lookup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4" i="4" l="1"/>
  <c r="H23" i="4"/>
  <c r="H22" i="4"/>
  <c r="H21" i="4"/>
  <c r="W66" i="2"/>
  <c r="T66" i="2"/>
  <c r="S66" i="2"/>
  <c r="W65" i="2"/>
  <c r="T65" i="2"/>
  <c r="S65" i="2"/>
  <c r="W64" i="2"/>
  <c r="T64" i="2"/>
  <c r="S64" i="2"/>
  <c r="W63" i="2"/>
  <c r="T63" i="2"/>
  <c r="S63" i="2"/>
  <c r="W62" i="2"/>
  <c r="T62" i="2"/>
  <c r="S62" i="2"/>
  <c r="W61" i="2"/>
  <c r="T61" i="2"/>
  <c r="S61" i="2"/>
  <c r="W60" i="2"/>
  <c r="T60" i="2"/>
  <c r="S60" i="2"/>
  <c r="W59" i="2"/>
  <c r="T59" i="2"/>
  <c r="S59" i="2"/>
  <c r="W58" i="2"/>
  <c r="T58" i="2"/>
  <c r="S58" i="2"/>
  <c r="W57" i="2"/>
  <c r="T57" i="2"/>
  <c r="S57" i="2"/>
  <c r="W56" i="2"/>
  <c r="T56" i="2"/>
  <c r="S56" i="2"/>
  <c r="W55" i="2"/>
  <c r="T55" i="2"/>
  <c r="S55" i="2"/>
  <c r="W54" i="2"/>
  <c r="T54" i="2"/>
  <c r="S54" i="2"/>
  <c r="W53" i="2"/>
  <c r="T53" i="2"/>
  <c r="S53" i="2"/>
  <c r="W52" i="2"/>
  <c r="T52" i="2"/>
  <c r="S52" i="2"/>
  <c r="W51" i="2"/>
  <c r="T51" i="2"/>
  <c r="S51" i="2"/>
  <c r="W50" i="2"/>
  <c r="T50" i="2"/>
  <c r="S50" i="2"/>
  <c r="W49" i="2"/>
  <c r="T49" i="2"/>
  <c r="S49" i="2"/>
  <c r="W48" i="2"/>
  <c r="T48" i="2"/>
  <c r="S48" i="2"/>
  <c r="W47" i="2"/>
  <c r="T47" i="2"/>
  <c r="S47" i="2"/>
  <c r="W46" i="2"/>
  <c r="T46" i="2"/>
  <c r="S46" i="2"/>
  <c r="W45" i="2"/>
  <c r="T45" i="2"/>
  <c r="S45" i="2"/>
  <c r="W44" i="2"/>
  <c r="T44" i="2"/>
  <c r="S44" i="2"/>
  <c r="W43" i="2"/>
  <c r="T43" i="2"/>
  <c r="S43" i="2"/>
  <c r="W42" i="2"/>
  <c r="T42" i="2"/>
  <c r="S42" i="2"/>
  <c r="W41" i="2"/>
  <c r="T41" i="2"/>
  <c r="S41" i="2"/>
  <c r="W40" i="2"/>
  <c r="T40" i="2"/>
  <c r="S40" i="2"/>
  <c r="W39" i="2"/>
  <c r="T39" i="2"/>
  <c r="S39" i="2"/>
  <c r="W38" i="2"/>
  <c r="T38" i="2"/>
  <c r="S38" i="2"/>
  <c r="W37" i="2"/>
  <c r="T37" i="2"/>
  <c r="S37" i="2"/>
  <c r="W36" i="2"/>
  <c r="T36" i="2"/>
  <c r="S36" i="2"/>
  <c r="W35" i="2"/>
  <c r="T35" i="2"/>
  <c r="S35" i="2"/>
  <c r="W34" i="2"/>
  <c r="T34" i="2"/>
  <c r="S34" i="2"/>
  <c r="W33" i="2"/>
  <c r="T33" i="2"/>
  <c r="S33" i="2"/>
  <c r="W32" i="2"/>
  <c r="T32" i="2"/>
  <c r="S32" i="2"/>
  <c r="W31" i="2"/>
  <c r="T31" i="2"/>
  <c r="S31" i="2"/>
  <c r="W30" i="2"/>
  <c r="T30" i="2"/>
  <c r="S30" i="2"/>
  <c r="W29" i="2"/>
  <c r="T29" i="2"/>
  <c r="S29" i="2"/>
  <c r="W28" i="2"/>
  <c r="T28" i="2"/>
  <c r="S28" i="2"/>
  <c r="W27" i="2"/>
  <c r="T27" i="2"/>
  <c r="S27" i="2"/>
  <c r="W26" i="2"/>
  <c r="T26" i="2"/>
  <c r="S26" i="2"/>
  <c r="W25" i="2"/>
  <c r="T25" i="2"/>
  <c r="S25" i="2"/>
  <c r="W24" i="2"/>
  <c r="T24" i="2"/>
  <c r="S24" i="2"/>
  <c r="W23" i="2"/>
  <c r="T23" i="2"/>
  <c r="S23" i="2"/>
  <c r="W22" i="2"/>
  <c r="T22" i="2"/>
  <c r="S22" i="2"/>
  <c r="W21" i="2"/>
  <c r="T21" i="2"/>
  <c r="S21" i="2"/>
  <c r="W20" i="2"/>
  <c r="T20" i="2"/>
  <c r="S20" i="2"/>
  <c r="W19" i="2"/>
  <c r="T19" i="2"/>
  <c r="S19" i="2"/>
  <c r="W18" i="2"/>
  <c r="T18" i="2"/>
  <c r="S18" i="2"/>
  <c r="W17" i="2"/>
  <c r="T17" i="2"/>
  <c r="S17" i="2"/>
  <c r="W16" i="2"/>
  <c r="T16" i="2"/>
  <c r="S16" i="2"/>
  <c r="W15" i="2"/>
  <c r="T15" i="2"/>
  <c r="S15" i="2"/>
  <c r="W14" i="2"/>
  <c r="T14" i="2"/>
  <c r="S14" i="2"/>
  <c r="W13" i="2"/>
  <c r="T13" i="2"/>
  <c r="S13" i="2"/>
  <c r="W12" i="2"/>
  <c r="T12" i="2"/>
  <c r="S12" i="2"/>
  <c r="W11" i="2"/>
  <c r="T11" i="2"/>
  <c r="S11" i="2"/>
  <c r="W10" i="2"/>
  <c r="T10" i="2"/>
  <c r="S10" i="2"/>
  <c r="W9" i="2"/>
  <c r="T9" i="2"/>
  <c r="S9" i="2"/>
  <c r="W8" i="2"/>
  <c r="T8" i="2"/>
  <c r="S8" i="2"/>
  <c r="W7" i="2"/>
  <c r="T7" i="2"/>
  <c r="S7" i="2"/>
</calcChain>
</file>

<file path=xl/sharedStrings.xml><?xml version="1.0" encoding="utf-8"?>
<sst xmlns="http://schemas.openxmlformats.org/spreadsheetml/2006/main" count="1151" uniqueCount="526">
  <si>
    <t>NYCTA — Advanced Excel Formula Practice Workbook</t>
  </si>
  <si>
    <t>www.nycta.in  |  Data Analytics — Advanced Module  |  IFS · IFERROR · SWITCH · D-Functions · VLOOKUP · HLOOKUP · XLOOKUP</t>
  </si>
  <si>
    <t>Formula Families Covered in This Workbook</t>
  </si>
  <si>
    <t>IFS · IFERROR · SWITCH</t>
  </si>
  <si>
    <t>Conditional logic: multi-branch decisions, error handling, value mapping</t>
  </si>
  <si>
    <t>→ Practice_IFS_SWITCH_IFERROR</t>
  </si>
  <si>
    <t>D-Functions (8 functions)</t>
  </si>
  <si>
    <t>Database query functions: DSUM DAVERAGE DCOUNT DCOUNTA DMAX DMIN DPRODUCT DGET</t>
  </si>
  <si>
    <t>→ Practice_DFunctions</t>
  </si>
  <si>
    <t>VLOOKUP · HLOOKUP · XLOOKUP</t>
  </si>
  <si>
    <t>Lookup functions: vertical, horizontal, and modern flexible lookup</t>
  </si>
  <si>
    <t>→ Practice_Lookups</t>
  </si>
  <si>
    <t>Sheet Guide — How to Use This Workbook</t>
  </si>
  <si>
    <t>Corp_Database</t>
  </si>
  <si>
    <t>60-row × 24-col corporate employee &amp; sales database. This is the master dataset for ALL formulas.</t>
  </si>
  <si>
    <t>Dept_KPI_Table</t>
  </si>
  <si>
    <t>Horizontal KPI benchmark table (6 departments × 5 KPIs). Used for HLOOKUP practice.</t>
  </si>
  <si>
    <t>Practice_IFS_SWITCH_IFERROR</t>
  </si>
  <si>
    <t>12 scenario tasks for IFS, IFERROR and SWITCH. Write formulas in yellow cells.</t>
  </si>
  <si>
    <t>Practice_DFunctions</t>
  </si>
  <si>
    <t>16 scenario tasks for all 8 D-Functions with pre-built criteria ranges.</t>
  </si>
  <si>
    <t>Practice_Lookups</t>
  </si>
  <si>
    <t>18 scenario tasks for VLOOKUP, HLOOKUP and XLOOKUP across all difficulty levels.</t>
  </si>
  <si>
    <t>How to Use the Practice Sheets</t>
  </si>
  <si>
    <t>1. All data lives in  Corp_Database  (rows 2–61, columns A–X). Reference it as  Corp_Database!$A$1:$X$61</t>
  </si>
  <si>
    <t>2. Yellow cells are your answer cells. Type your formula directly into those cells.</t>
  </si>
  <si>
    <t>3. Each task shows you the scenario, which columns to use, and expected output type.</t>
  </si>
  <si>
    <t>4. D-Function criteria ranges are pre-built in green. Reference them exactly as shown.</t>
  </si>
  <si>
    <t>5. Lookup tables for HLOOKUP are in  Dept_KPI_Table. VLOOKUP &amp; XLOOKUP use Corp_Database.</t>
  </si>
  <si>
    <t>6. Column index guide for Corp_Database: A=1(EmpID) B=2(Name) C=3(Dept) D=4(DeptCode) E=5(Region) F=6(City) G=7(Product) H=8(Quarter) I=9(Month) J=10(Units) K=11(Price) L=12(Sales) M=13(Comm%) N=14(Score) O=15(Grade) P=16(Exp) Q=17(Salary) R=18(Status) S=19(Senior) T=20(Probation) U=21(Rating) V=22(Target) W=23(TargetMet) X=24(Manager)</t>
  </si>
  <si>
    <t>NYCTA CORPORATE DATABASE — Employee &amp; Sales Records  |  Range: Corp_Database!$A$1:$X$61  (Header Row 1 + 60 Data Rows)</t>
  </si>
  <si>
    <t xml:space="preserve">  60 employees across 8 departments, 5 regions, 6 product categories. Use this as the database for ALL formula functions.  D-Function database range: $A$1:$X$61  |  Header Row = Row 1  |  First data row = Row 2</t>
  </si>
  <si>
    <t>Emp ID</t>
  </si>
  <si>
    <t>Full Name</t>
  </si>
  <si>
    <t>Department</t>
  </si>
  <si>
    <t>Dept Code</t>
  </si>
  <si>
    <t>Region</t>
  </si>
  <si>
    <t>City</t>
  </si>
  <si>
    <t>Product Category</t>
  </si>
  <si>
    <t>Quarter</t>
  </si>
  <si>
    <t>Month</t>
  </si>
  <si>
    <t>Units Sold</t>
  </si>
  <si>
    <t>Unit Price (Rs.)</t>
  </si>
  <si>
    <t>Total Sales (Rs.)</t>
  </si>
  <si>
    <t>Commission %</t>
  </si>
  <si>
    <t>Perf. Score</t>
  </si>
  <si>
    <t>Grade</t>
  </si>
  <si>
    <t>Experience (Yrs)</t>
  </si>
  <si>
    <t>Monthly Salary (Rs.)</t>
  </si>
  <si>
    <t>Status</t>
  </si>
  <si>
    <t>Senior Staff</t>
  </si>
  <si>
    <t>On Probation</t>
  </si>
  <si>
    <t>Rating (1-5)</t>
  </si>
  <si>
    <t>Annual Target (Rs.)</t>
  </si>
  <si>
    <t>Target Met</t>
  </si>
  <si>
    <t>Manager ID</t>
  </si>
  <si>
    <t>Col A (idx 1)</t>
  </si>
  <si>
    <t>Col B (idx 2)</t>
  </si>
  <si>
    <t>Col C (idx 3)</t>
  </si>
  <si>
    <t>Col D (idx 4)</t>
  </si>
  <si>
    <t>Col E (idx 5)</t>
  </si>
  <si>
    <t>Col F (idx 6)</t>
  </si>
  <si>
    <t>Col G (idx 7)</t>
  </si>
  <si>
    <t>Col H (idx 8)</t>
  </si>
  <si>
    <t>Col I (idx 9)</t>
  </si>
  <si>
    <t>Col J (idx 10)</t>
  </si>
  <si>
    <t>Col K (idx 11)</t>
  </si>
  <si>
    <t>Col L (idx 12)</t>
  </si>
  <si>
    <t>Col M (idx 13)</t>
  </si>
  <si>
    <t>Col N (idx 14)</t>
  </si>
  <si>
    <t>Col O (idx 15)</t>
  </si>
  <si>
    <t>Col P (idx 16)</t>
  </si>
  <si>
    <t>Col Q (idx 17)</t>
  </si>
  <si>
    <t>Col R (idx 18)</t>
  </si>
  <si>
    <t>Col S (idx 19)</t>
  </si>
  <si>
    <t>Col T (idx 20)</t>
  </si>
  <si>
    <t>Col U (idx 21)</t>
  </si>
  <si>
    <t>Col V (idx 22)</t>
  </si>
  <si>
    <t>Col W (idx 23)</t>
  </si>
  <si>
    <t>Col X (idx 24)</t>
  </si>
  <si>
    <t>EMP-001</t>
  </si>
  <si>
    <t>Aarav Sharma</t>
  </si>
  <si>
    <t>Sales</t>
  </si>
  <si>
    <t>SLS</t>
  </si>
  <si>
    <t>North</t>
  </si>
  <si>
    <t>Delhi</t>
  </si>
  <si>
    <t>Enterprise Software</t>
  </si>
  <si>
    <t>Q2</t>
  </si>
  <si>
    <t>F</t>
  </si>
  <si>
    <t>Active</t>
  </si>
  <si>
    <t>EMP-028</t>
  </si>
  <si>
    <t>EMP-002</t>
  </si>
  <si>
    <t>Priya Nair</t>
  </si>
  <si>
    <t>IT</t>
  </si>
  <si>
    <t>South</t>
  </si>
  <si>
    <t>Chennai</t>
  </si>
  <si>
    <t>Hardware</t>
  </si>
  <si>
    <t>B</t>
  </si>
  <si>
    <t>EMP-003</t>
  </si>
  <si>
    <t>Rahul Gupta</t>
  </si>
  <si>
    <t>HR</t>
  </si>
  <si>
    <t>East</t>
  </si>
  <si>
    <t>Guwahati</t>
  </si>
  <si>
    <t>Consulting</t>
  </si>
  <si>
    <t>—</t>
  </si>
  <si>
    <t>EMP-004</t>
  </si>
  <si>
    <t>Sneha Das</t>
  </si>
  <si>
    <t>Finance</t>
  </si>
  <si>
    <t>FIN</t>
  </si>
  <si>
    <t>West</t>
  </si>
  <si>
    <t>Mumbai</t>
  </si>
  <si>
    <t>Cloud Services</t>
  </si>
  <si>
    <t>Q3</t>
  </si>
  <si>
    <t>C</t>
  </si>
  <si>
    <t>On Leave</t>
  </si>
  <si>
    <t>EMP-035</t>
  </si>
  <si>
    <t>EMP-005</t>
  </si>
  <si>
    <t>Kiran Mehta</t>
  </si>
  <si>
    <t>Operations</t>
  </si>
  <si>
    <t>OPS</t>
  </si>
  <si>
    <t>Central</t>
  </si>
  <si>
    <t>Nagpur</t>
  </si>
  <si>
    <t>Training</t>
  </si>
  <si>
    <t>EMP-021</t>
  </si>
  <si>
    <t>EMP-006</t>
  </si>
  <si>
    <t>Anjali Roy</t>
  </si>
  <si>
    <t>Marketing</t>
  </si>
  <si>
    <t>MKT</t>
  </si>
  <si>
    <t>Lucknow</t>
  </si>
  <si>
    <t>Analytics</t>
  </si>
  <si>
    <t>Q4</t>
  </si>
  <si>
    <t>EMP-007</t>
  </si>
  <si>
    <t>Vikram Singh</t>
  </si>
  <si>
    <t>Legal</t>
  </si>
  <si>
    <t>LGL</t>
  </si>
  <si>
    <t>Bangalore</t>
  </si>
  <si>
    <t>EMP-008</t>
  </si>
  <si>
    <t>Nisha Patel</t>
  </si>
  <si>
    <t>Procurement</t>
  </si>
  <si>
    <t>PCR</t>
  </si>
  <si>
    <t>Bhubaneswar</t>
  </si>
  <si>
    <t>Resigned</t>
  </si>
  <si>
    <t>EMP-009</t>
  </si>
  <si>
    <t>Arjun Reddy</t>
  </si>
  <si>
    <t>Ahmedabad</t>
  </si>
  <si>
    <t>EMP-010</t>
  </si>
  <si>
    <t>Divya Iyer</t>
  </si>
  <si>
    <t>Bhopal</t>
  </si>
  <si>
    <t>EMP-011</t>
  </si>
  <si>
    <t>Manish Kumar</t>
  </si>
  <si>
    <t>Chandigarh</t>
  </si>
  <si>
    <t>D</t>
  </si>
  <si>
    <t>EMP-012</t>
  </si>
  <si>
    <t>Shreya Joshi</t>
  </si>
  <si>
    <t>Hyderabad</t>
  </si>
  <si>
    <t>Q1</t>
  </si>
  <si>
    <t>EMP-014</t>
  </si>
  <si>
    <t>EMP-013</t>
  </si>
  <si>
    <t>Rohan Pillai</t>
  </si>
  <si>
    <t>Kolkata</t>
  </si>
  <si>
    <t>Meera Krishnan</t>
  </si>
  <si>
    <t>Pune</t>
  </si>
  <si>
    <t>EMP-015</t>
  </si>
  <si>
    <t>Tarun Bose</t>
  </si>
  <si>
    <t>Raipur</t>
  </si>
  <si>
    <t>EMP-016</t>
  </si>
  <si>
    <t>Sunita Rao</t>
  </si>
  <si>
    <t>EMP-017</t>
  </si>
  <si>
    <t>Deepak Verma</t>
  </si>
  <si>
    <t>EMP-042</t>
  </si>
  <si>
    <t>EMP-018</t>
  </si>
  <si>
    <t>Kavitha Nair</t>
  </si>
  <si>
    <t>EMP-019</t>
  </si>
  <si>
    <t>Rajesh Pillai</t>
  </si>
  <si>
    <t>EMP-020</t>
  </si>
  <si>
    <t>Meena Joshi</t>
  </si>
  <si>
    <t>A</t>
  </si>
  <si>
    <t>Amit Dubey</t>
  </si>
  <si>
    <t>EMP-022</t>
  </si>
  <si>
    <t>Pooja Shetty</t>
  </si>
  <si>
    <t>EMP-023</t>
  </si>
  <si>
    <t>Sanjay Gupta</t>
  </si>
  <si>
    <t>EMP-024</t>
  </si>
  <si>
    <t>Lakshmi Menon</t>
  </si>
  <si>
    <t>EMP-025</t>
  </si>
  <si>
    <t>Arjun Kapoor</t>
  </si>
  <si>
    <t>EMP-026</t>
  </si>
  <si>
    <t>Ritu Sharma</t>
  </si>
  <si>
    <t>EMP-027</t>
  </si>
  <si>
    <t>Nikhil Shah</t>
  </si>
  <si>
    <t>Fatima Begum</t>
  </si>
  <si>
    <t>EMP-029</t>
  </si>
  <si>
    <t>Naveen Rao</t>
  </si>
  <si>
    <t>EMP-030</t>
  </si>
  <si>
    <t>Geeta Pillai</t>
  </si>
  <si>
    <t>EMP-031</t>
  </si>
  <si>
    <t>Suresh Iyer</t>
  </si>
  <si>
    <t>EMP-032</t>
  </si>
  <si>
    <t>Ananya Singh</t>
  </si>
  <si>
    <t>EMP-033</t>
  </si>
  <si>
    <t>Rakesh Tiwari</t>
  </si>
  <si>
    <t>EMP-034</t>
  </si>
  <si>
    <t>Smita Desai</t>
  </si>
  <si>
    <t>Dhruv Malhotra</t>
  </si>
  <si>
    <t>EMP-036</t>
  </si>
  <si>
    <t>Preeti Soni</t>
  </si>
  <si>
    <t>EMP-037</t>
  </si>
  <si>
    <t>Mohan Das</t>
  </si>
  <si>
    <t>EMP-038</t>
  </si>
  <si>
    <t>Tanya Roy</t>
  </si>
  <si>
    <t>EMP-039</t>
  </si>
  <si>
    <t>Alok Mishra</t>
  </si>
  <si>
    <t>EMP-040</t>
  </si>
  <si>
    <t>Simran Kaur</t>
  </si>
  <si>
    <t>EMP-041</t>
  </si>
  <si>
    <t>Yusuf Khan</t>
  </si>
  <si>
    <t>Lata Pillai</t>
  </si>
  <si>
    <t>EMP-043</t>
  </si>
  <si>
    <t>Dev Sharma</t>
  </si>
  <si>
    <t>EMP-044</t>
  </si>
  <si>
    <t>Priyanka Bose</t>
  </si>
  <si>
    <t>EMP-045</t>
  </si>
  <si>
    <t>Naresh Nair</t>
  </si>
  <si>
    <t>EMP-046</t>
  </si>
  <si>
    <t>Vasudha Menon</t>
  </si>
  <si>
    <t>EMP-047</t>
  </si>
  <si>
    <t>Rajiv Gupta</t>
  </si>
  <si>
    <t>EMP-048</t>
  </si>
  <si>
    <t>Aisha Patel</t>
  </si>
  <si>
    <t>EMP-049</t>
  </si>
  <si>
    <t>Sandeep Joshi</t>
  </si>
  <si>
    <t>EMP-050</t>
  </si>
  <si>
    <t>Kritika Jha</t>
  </si>
  <si>
    <t>EMP-051</t>
  </si>
  <si>
    <t>Bhaskar Reddy</t>
  </si>
  <si>
    <t>EMP-052</t>
  </si>
  <si>
    <t>Anjana Kaur</t>
  </si>
  <si>
    <t>EMP-053</t>
  </si>
  <si>
    <t>Rekha Singh</t>
  </si>
  <si>
    <t>EMP-054</t>
  </si>
  <si>
    <t>Nandini Iyer</t>
  </si>
  <si>
    <t>EMP-055</t>
  </si>
  <si>
    <t>Kabir Verma</t>
  </si>
  <si>
    <t>EMP-056</t>
  </si>
  <si>
    <t>Asha Pillai</t>
  </si>
  <si>
    <t>EMP-057</t>
  </si>
  <si>
    <t>Girish Mehta</t>
  </si>
  <si>
    <t>EMP-058</t>
  </si>
  <si>
    <t>Padma Roy</t>
  </si>
  <si>
    <t>EMP-059</t>
  </si>
  <si>
    <t>Sunil Kumar</t>
  </si>
  <si>
    <t>EMP-060</t>
  </si>
  <si>
    <t>Lavanya Das</t>
  </si>
  <si>
    <t xml:space="preserve">  QUICK COLUMN GUIDE:  A=EmpID  B=Name  C=Dept  D=DeptCode  E=Region  F=City  G=Product  H=Quarter  I=Month  J=Units  K=UnitPrice  L=TotalSales  M=Comm%  N=Score  O=Grade  P=Exp  Q=Salary  R=Status  S=Senior  T=Probation  U=Rating  V=AnnTarget  W=TargetMet  X=ManagerID</t>
  </si>
  <si>
    <t>DEPARTMENT KPI BENCHMARK TABLE — Horizontal Reference  |  HLOOKUP range: Dept_KPI_Table!$A$5:$H$10</t>
  </si>
  <si>
    <t xml:space="preserve">  HLOOKUP searches across ROW 1 of this table (dept names). row_index tells which KPI row to return.  Example: =HLOOKUP("Sales", Dept_KPI_Table!$A$5:$H$10, 3, FALSE) returns Average Score Target for Sales.</t>
  </si>
  <si>
    <t>KPI / Department</t>
  </si>
  <si>
    <t>(Row 1 — Lookup Row)</t>
  </si>
  <si>
    <t>(Row 2)</t>
  </si>
  <si>
    <t>(Row 3)</t>
  </si>
  <si>
    <t>(Row 4)</t>
  </si>
  <si>
    <t>(Row 5)</t>
  </si>
  <si>
    <t>(Row 6)</t>
  </si>
  <si>
    <t>Annual Sales Target (Rs.)</t>
  </si>
  <si>
    <t>Avg Performance Score Target</t>
  </si>
  <si>
    <t>Minimum Experience (Yrs)</t>
  </si>
  <si>
    <t>Bonus Rate (%)</t>
  </si>
  <si>
    <t>Training Budget (Rs.)</t>
  </si>
  <si>
    <t xml:space="preserve">  Row Index Reference:  Row 1 (Row 5 in sheet) = Dept names (lookup row)  |  Row 2 = Annual Sales Target  |  Row 3 = Avg Score Target  |  Row 4 = Min Experience  |  Row 5 = Bonus Rate  |  Row 6 = Training Budget</t>
  </si>
  <si>
    <t>Employee Position Grade Table — Vertical Reference (for VLOOKUP &amp; XLOOKUP)</t>
  </si>
  <si>
    <t xml:space="preserve">  This vertical table maps Grade codes to Position titles and salary bands. Use as an additional lookup reference. Range: Dept_KPI_Table!$A$18:$D$23</t>
  </si>
  <si>
    <t>Position Title</t>
  </si>
  <si>
    <t>Salary Band (Rs.)</t>
  </si>
  <si>
    <t>Promotion Eligible?</t>
  </si>
  <si>
    <t>Senior Analyst</t>
  </si>
  <si>
    <t>120000–150000</t>
  </si>
  <si>
    <t>Yes</t>
  </si>
  <si>
    <t>Analyst</t>
  </si>
  <si>
    <t>80000–119999</t>
  </si>
  <si>
    <t>Junior Analyst</t>
  </si>
  <si>
    <t>50000–79999</t>
  </si>
  <si>
    <t>Conditional</t>
  </si>
  <si>
    <t>Trainee Analyst</t>
  </si>
  <si>
    <t>30000–49999</t>
  </si>
  <si>
    <t>No</t>
  </si>
  <si>
    <t>Performance Review</t>
  </si>
  <si>
    <t>Below 30000</t>
  </si>
  <si>
    <t>Practice: IFS · SWITCH · IFERROR  — Write Your Formulas in the Yellow Cells</t>
  </si>
  <si>
    <t xml:space="preserve">  IFS: =IFS(test1,val1, test2,val2, …, TRUE,default)  |  SWITCH: =SWITCH(expr, v1,r1, v2,r2, …, default)  |  IFERROR: =IFERROR(formula, value_if_error)  |  Database: Corp_Database!$A$1:$X$61  |  Row 1=headers, Rows 2-61=data</t>
  </si>
  <si>
    <t xml:space="preserve">  Cell reference guide:  N=Perf Score  O=Grade  C=Dept  D=DeptCode  E=Region  L=TotalSales  Q=Salary  R=Status  S=Senior(T/F)  T=Probation(T/F)  U=Rating  W=TargetMet(T/F)  P=Experience</t>
  </si>
  <si>
    <t>#</t>
  </si>
  <si>
    <t>Formula
Type</t>
  </si>
  <si>
    <t>Scenario — What the formula must do</t>
  </si>
  <si>
    <t>Reference Row
(in Corp_Database)</t>
  </si>
  <si>
    <t>Key Cell(s)
to use</t>
  </si>
  <si>
    <t>↓ Write Your Formula Here ↓
(Yellow Cell)</t>
  </si>
  <si>
    <t>Expected
Output Type</t>
  </si>
  <si>
    <t>Hint / Syntax</t>
  </si>
  <si>
    <t>IFS Function — =IFS(test1,val1, test2,val2, …, TRUE,default)  |  Returns the value paired with the FIRST true condition</t>
  </si>
  <si>
    <t>IFS</t>
  </si>
  <si>
    <t>Row 2: Assign a PERFORMANCE BAND based on Score in cell N2:
Score&gt;=90 → 'Outstanding'  &gt;=75 → 'Exceeds'  &gt;=60 → 'Meets'  &gt;=45 → 'Below'  else → 'Unsatisfactory'</t>
  </si>
  <si>
    <t>Corp_Database Row 2</t>
  </si>
  <si>
    <t>N2 (Perf. Score)</t>
  </si>
  <si>
    <t>Text: performance band</t>
  </si>
  <si>
    <t xml:space="preserve"> =ifs(N2&gt;=90,"Outstanding",N2&gt;=75,"Exceeds",N2&gt;=60,"Meets",N2&gt;=45,"Below",TRUE(),"Unsatisfactory")</t>
  </si>
  <si>
    <t>Row 3: Assign a SALARY BAND label based on Monthly Salary in Q3:
&gt;=120000 → 'Executive'  &gt;=80000 → 'Senior'  &gt;=50000 → 'Mid-Level'  &gt;=30000 → 'Junior'  else → 'Intern'</t>
  </si>
  <si>
    <t>Corp_Database Row 3</t>
  </si>
  <si>
    <t>Q3 (Monthly Salary)</t>
  </si>
  <si>
    <t>Text: salary band</t>
  </si>
  <si>
    <t xml:space="preserve"> =ifs(Q3&gt;=120000,"Executive",Q3&gt;=80000,"Senior",Q3&gt;=50000,"Mid-Level",Q3&gt;=30000,"Junior",TRUE(),"Intern")</t>
  </si>
  <si>
    <t>Row 4: Assign COMMISSION TIER based on Total Sales in L4:
&gt;=2000000 → 'Tier 1 — 15%'  &gt;=1000000 → 'Tier 2 — 10%'  &gt;=500000 → 'Tier 3 — 7%'  else → 'No Tier'</t>
  </si>
  <si>
    <t>Corp_Database Row 4</t>
  </si>
  <si>
    <t>L4 (Total Sales)</t>
  </si>
  <si>
    <t>Text: commission tier</t>
  </si>
  <si>
    <t xml:space="preserve"> =ifs(L4&gt;=2000000,"Tier 1 - 15%",L4&gt;=1000000,"Tier 2 - 10%",L4&gt;=500000,"Tier 3 - 7%",TRUE(),"No Tier")</t>
  </si>
  <si>
    <t>Row 5: Assign EMPLOYMENT STATUS LABEL based on Status in R5:
If 'Active' → 'Currently Working'  If 'On Leave' → 'Temporarily Away'  If 'Resigned' → 'No Longer Employed'  else → 'Check HR'</t>
  </si>
  <si>
    <t>Corp_Database Row 5</t>
  </si>
  <si>
    <t>R5 (Status)</t>
  </si>
  <si>
    <t>Text: status label</t>
  </si>
  <si>
    <t xml:space="preserve"> =ifs(R5="Active","Currently Working",R5="On Leave","Temporarily Away",R5="Resigned","No Longer Employed",TRUE(),"Check HR")</t>
  </si>
  <si>
    <t>SWITCH Function — =SWITCH(expression, value1,result1, value2,result2, …, default)  |  Equality matching only — no ranges</t>
  </si>
  <si>
    <t>SWITCH</t>
  </si>
  <si>
    <t>Row 2: Convert DEPT CODE (D2) to full department name:
SLS→'Sales' | IT→'Information Technology' | HR→'Human Resources' | FIN→'Finance &amp; Accounts' | OPS→'Operations' | MKT→'Marketing' | LGL→'Legal' | PCR→'Procurement' | else→'Unknown'</t>
  </si>
  <si>
    <t>D2 (Dept Code)</t>
  </si>
  <si>
    <t>Text: full dept name</t>
  </si>
  <si>
    <t xml:space="preserve"> =switch(D2,"SLS","Sales","IT","Information Technology","HR","Human Resources","FIN","Finance &amp; Accounts","OPS","Operations","MKT","Marketing","LGL","Legal","PCR","Procurement","Unknown")</t>
  </si>
  <si>
    <t>Row 3: Convert QUARTER code (H3) to season period label:
Q1 → 'Jan–Mar (FY Start)'  Q2 → 'Apr–Jun'  Q3 → 'Jul–Sep'  Q4 → 'Oct–Dec (Year End)'</t>
  </si>
  <si>
    <t>H3 (Quarter)</t>
  </si>
  <si>
    <t>Text: period label</t>
  </si>
  <si>
    <t xml:space="preserve"> =switch(H3,"Q1","Jan-Mar (FY Start)","Q2","Apr-Jun","Q3","Jul-Sep","Q4","Oct-Dec (Year End)","Invalid Quarter")</t>
  </si>
  <si>
    <t>Row 4: Convert RATING (U4, 1–5) to a star label and description:
5→'★★★★★ Exceptional'  4→'★★★★ Excellent'  3→'★★★ Good'  2→'★★ Fair'  1→'★ Poor'  else→'No Rating'</t>
  </si>
  <si>
    <t>U4 (Rating 1-5)</t>
  </si>
  <si>
    <t>Text: star + label</t>
  </si>
  <si>
    <t xml:space="preserve"> =switch(U4,5,"5 Star - Exceptional",4,"4 Star - Excellent",3,"3 Star - Good",2,"2 Star - Fair",1,"1 Star - Poor","No Rating")</t>
  </si>
  <si>
    <t>Row 5: Convert REGION code (E5) to Zone and HQ city:
North→'Zone A — Delhi HQ'  South→'Zone B — Bangalore HQ'  East→'Zone C — Kolkata HQ'  West→'Zone D — Mumbai HQ'  Central→'Zone E — Bhopal HQ'</t>
  </si>
  <si>
    <t>E5 (Region)</t>
  </si>
  <si>
    <t>Text: Zone + HQ</t>
  </si>
  <si>
    <t xml:space="preserve"> =switch(E5,"North","Zone A - Delhi HQ","South","Zone B - Bangalore HQ","East","Zone C - Kolkata HQ","West","Zone D - Mumbai HQ","Central","Zone E - Bhopal HQ","Unknown Zone")</t>
  </si>
  <si>
    <t>IFERROR Function — =IFERROR(formula, value_if_error)  |  Traps any error and returns your custom message instead</t>
  </si>
  <si>
    <t>IFERROR</t>
  </si>
  <si>
    <t>Row 2: Safely calculate COMMISSION VALUE (Total Sales × Commission% / 100) for row 2.
If either cell is blank or causes an error, return the text 'Commission Unavailable'.</t>
  </si>
  <si>
    <t>L2 (Sales), M2 (Comm%)</t>
  </si>
  <si>
    <t>Number or 'Commission Unavailable'</t>
  </si>
  <si>
    <t>Use IFERROR with VLOOKUP to find the DEPARTMENT of employee 'EMP-025'.
If the ID is not found in Corp_Database, return 'Employee Record Not Found'.</t>
  </si>
  <si>
    <t>Corp_Database (full range)</t>
  </si>
  <si>
    <t>A:C columns</t>
  </si>
  <si>
    <t>Text: dept or error message</t>
  </si>
  <si>
    <t>Safely look up the SALARY of employee 'EMP-099' (does not exist in the database).
Return 0 as a numeric fallback if the lookup fails.</t>
  </si>
  <si>
    <t>A:Q columns</t>
  </si>
  <si>
    <t>Number (0 if not found)</t>
  </si>
  <si>
    <t>Combine IFERROR with IFS: For Row 2, assign a grade band using IFS on Score N2,
but wrap it in IFERROR to return 'Score Invalid' if N2 contains non-numeric data.</t>
  </si>
  <si>
    <t>Text: grade band or 'Score Invalid'</t>
  </si>
  <si>
    <t xml:space="preserve">  Extension: Try combining SWITCH inside IFERROR, or wrapping IFERROR around a SWITCH for a dept code that might be missing.</t>
  </si>
  <si>
    <t>Practice: Database (D) Functions  — Write Your Formulas in the Yellow Cells</t>
  </si>
  <si>
    <t xml:space="preserve">  All D-Functions share the same 3-argument structure: =DFUNCTION( database, field, criteria )  |  Database = Corp_Database!$A$1:$X$61  |  Field = exact column header in quotes (e.g. "Total Sales (Rs.)")  |  Criteria = pre-built green range shown in each task</t>
  </si>
  <si>
    <t xml:space="preserve">  AND criteria: put conditions on the SAME ROW in the criteria range  |  OR criteria: put conditions on DIFFERENT ROWS in the criteria range  |  Criteria MUST include a header row that exactly matches the database column header.</t>
  </si>
  <si>
    <t>Function</t>
  </si>
  <si>
    <t>Scenario</t>
  </si>
  <si>
    <t>→ Criteria Range
(pre-built)</t>
  </si>
  <si>
    <t>Criteria
Header 1</t>
  </si>
  <si>
    <t>Criteria
Val 1</t>
  </si>
  <si>
    <t>Criteria
Header 2</t>
  </si>
  <si>
    <t>Criteria
Val 2</t>
  </si>
  <si>
    <t>↓ Formula Here ↓
(Yellow Cell)</t>
  </si>
  <si>
    <t>Expected Output</t>
  </si>
  <si>
    <t xml:space="preserve">  DSUM  —  =DSUM(database, field, criteria)  —  Sums values meeting criteria</t>
  </si>
  <si>
    <t>DSUM</t>
  </si>
  <si>
    <t>Calculate TOTAL SALES for all employees in the 'Sales' department.
Field: "Total Sales (Rs.)"</t>
  </si>
  <si>
    <t>Criteria range:
E9:F10
Type: Single</t>
  </si>
  <si>
    <t>Number (Rs.)
Single condition</t>
  </si>
  <si>
    <t>Calculate TOTAL SALES for the 'North' region in Quarter 'Q3'.
Both conditions must be true (AND).</t>
  </si>
  <si>
    <t>Criteria range:
E12:H14
Type: AND</t>
  </si>
  <si>
    <t>Number (Rs.)
AND condition</t>
  </si>
  <si>
    <t xml:space="preserve">  DAVERAGE  —  =DAVERAGE(database, field, criteria)  —  Averages values meeting criteria</t>
  </si>
  <si>
    <t>DAVERAGE</t>
  </si>
  <si>
    <t>Find the AVERAGE PERFORMANCE SCORE for all employees in the 'IT' department.
Field: "Perf. Score"</t>
  </si>
  <si>
    <t>Criteria range:
E17:F18
Type: Single</t>
  </si>
  <si>
    <t>Number 0-100
Single condition</t>
  </si>
  <si>
    <t>Find the AVERAGE MONTHLY SALARY for 'Finance' employees with more than 5 years experience.
Field: "Monthly Salary (Rs.)"  Criteria: Experience &gt;5</t>
  </si>
  <si>
    <t>Criteria range:
E20:H22
Type: AND</t>
  </si>
  <si>
    <t>Number (Rs.)
AND + comparison</t>
  </si>
  <si>
    <t>&gt;5</t>
  </si>
  <si>
    <t xml:space="preserve">  DCOUNT  —  =DCOUNT(database, field, criteria)  —  Counts NUMERIC cells matching criteria</t>
  </si>
  <si>
    <t>DCOUNT</t>
  </si>
  <si>
    <t>Count HOW MANY employees have Units Sold greater than 100.
Field: "Units Sold"  Criteria: &gt;100</t>
  </si>
  <si>
    <t>Criteria range:
E25:F26
Type: Single</t>
  </si>
  <si>
    <t>Whole Number
Comparison</t>
  </si>
  <si>
    <t>&gt;100</t>
  </si>
  <si>
    <t>Count employees with Total Sales &gt;500000 in the 'South' OR 'West' region.
(Two criteria rows = OR condition — put South and West on separate rows)</t>
  </si>
  <si>
    <t>Criteria range:
E28:H30
Type: OR</t>
  </si>
  <si>
    <t>Whole Number
OR condition (2 rows)</t>
  </si>
  <si>
    <t>&gt;0</t>
  </si>
  <si>
    <t xml:space="preserve">  DCOUNTA  —  =DCOUNTA(database, field, criteria)  —  Counts NON-EMPTY cells (text OR numbers) matching criteria</t>
  </si>
  <si>
    <t>DCOUNTA</t>
  </si>
  <si>
    <t>Count how many EMPLOYEE NAMES exist in the 'Marketing' department.
Use DCOUNTA — Name is a text field, not numeric.</t>
  </si>
  <si>
    <t>Criteria range:
E33:F34
Type: Single</t>
  </si>
  <si>
    <t>Whole Number
Counts text</t>
  </si>
  <si>
    <t>Count how many STATUS entries exist for 'Operations' employees who are Active.
Field: "Status"  (text column — use DCOUNTA)</t>
  </si>
  <si>
    <t>Criteria range:
E36:H38
Type: AND</t>
  </si>
  <si>
    <t>Whole Number
AND condition</t>
  </si>
  <si>
    <t xml:space="preserve">  DMAX  —  =DMAX(database, field, criteria)  —  Maximum value meeting criteria</t>
  </si>
  <si>
    <t>DMAX</t>
  </si>
  <si>
    <t>Find the HIGHEST TOTAL SALES among all employees selling 'Enterprise Software'.
Field: "Total Sales (Rs.)"</t>
  </si>
  <si>
    <t>Criteria range:
E41:F42
Type: Single</t>
  </si>
  <si>
    <t>Find the HIGHEST PERFORMANCE SCORE in the 'IT' department in Quarter 'Q2'.
Field: "Perf. Score"  (AND — both conditions required)</t>
  </si>
  <si>
    <t>Criteria range:
E44:H46
Type: AND</t>
  </si>
  <si>
    <t>Number 0-100
AND condition</t>
  </si>
  <si>
    <t xml:space="preserve">  DMIN  —  =DMIN(database, field, criteria)  —  Minimum value meeting criteria</t>
  </si>
  <si>
    <t>DMIN</t>
  </si>
  <si>
    <t>Find the LOWEST MONTHLY SALARY in the 'HR' department.
Field: "Monthly Salary (Rs.)"</t>
  </si>
  <si>
    <t>Criteria range:
E49:F50
Type: Single</t>
  </si>
  <si>
    <t>Find the LOWEST YEARS OF EXPERIENCE among 'Finance' employees in the 'West' region.
Field: "Experience (Yrs)"</t>
  </si>
  <si>
    <t>Criteria range:
E52:H54
Type: AND</t>
  </si>
  <si>
    <t>Number (years)
AND condition</t>
  </si>
  <si>
    <t xml:space="preserve">  DPRODUCT  —  =DPRODUCT(database, field, criteria)  —  Multiplies all values meeting criteria</t>
  </si>
  <si>
    <t>DPRODUCT</t>
  </si>
  <si>
    <t>Multiply the RATING (1-5) values for all 'Legal' department employees.
Field: "Rating (1-5)"  (result = product of all matching ratings)</t>
  </si>
  <si>
    <t>Criteria range:
E57:F58
Type: Single</t>
  </si>
  <si>
    <t>Number
Product of ratings</t>
  </si>
  <si>
    <t>Multiply the RATING values for employees in the 'Central' region with Rating &gt;=4.
Field: "Rating (1-5)"  Criteria: Region=Central AND Rating&gt;=4</t>
  </si>
  <si>
    <t>Criteria range:
E60:H62
Type: AND</t>
  </si>
  <si>
    <t>Number
AND condition</t>
  </si>
  <si>
    <t>&gt;=4</t>
  </si>
  <si>
    <t xml:space="preserve">  DGET  —  =DGET(database, field, criteria)  —  Extracts EXACTLY ONE value — must match a unique record</t>
  </si>
  <si>
    <t>DGET</t>
  </si>
  <si>
    <t>Retrieve the TOTAL SALES for employee 'EMP-007' (unique Emp ID — guaranteed single match).
Field: "Total Sales (Rs.)"  Criteria: Emp ID = EMP-007</t>
  </si>
  <si>
    <t>Criteria range:
E65:F66
Type: Single</t>
  </si>
  <si>
    <t>Number (Rs.)
Unique match</t>
  </si>
  <si>
    <t>Retrieve the FULL NAME of employee 'EMP-042'.
DGET returns a single value — Emp ID is the unique key. Field: "Full Name"</t>
  </si>
  <si>
    <t>Criteria range:
E68:F69
Type: Single</t>
  </si>
  <si>
    <t>Text: employee name
Unique match</t>
  </si>
  <si>
    <t xml:space="preserve">  D-Function Quick Ref:  DSUM=sum  |  DAVERAGE=average  |  DCOUNT=count numerics  |  DCOUNTA=count non-empty  |  DMAX=maximum  |  DMIN=minimum  |  DPRODUCT=multiply  |  DGET=single exact value  |  AND criteria = same criteria row  |  OR criteria = separate criteria rows</t>
  </si>
  <si>
    <t>Practice: VLOOKUP · HLOOKUP · XLOOKUP  — Write Your Formulas in the Yellow Cells</t>
  </si>
  <si>
    <t xml:space="preserve">  VLOOKUP: =VLOOKUP(lookup_value, table_array, col_index_num, FALSE)  |  HLOOKUP: =HLOOKUP(lookup_value, table_array, row_index_num, FALSE)  |  XLOOKUP: =XLOOKUP(lookup_value, lookup_array, return_array, [if_not_found], [match_mode], [search_mode])</t>
  </si>
  <si>
    <t xml:space="preserve">  Corp_Database range: Corp_Database!$A$1:$X$61  |  Dept_KPI_Table HLOOKUP range: Dept_KPI_Table!$A$5:$H$10  |  Grade table VLOOKUP range: Dept_KPI_Table!$A$18:$D$22  |  Col A(1)=EmpID  C(3)=Dept  L(12)=Sales  N(14)=Score  O(15)=Grade  Q(17)=Salary</t>
  </si>
  <si>
    <t>Scenario — What to Find</t>
  </si>
  <si>
    <t>Lookup Value
(given)</t>
  </si>
  <si>
    <t>Look in This
Array/Column</t>
  </si>
  <si>
    <t>Return This
Column/Array</t>
  </si>
  <si>
    <t>Optional Args
(if needed)</t>
  </si>
  <si>
    <t>↓ Write Formula Here ↓</t>
  </si>
  <si>
    <t xml:space="preserve">  VLOOKUP  —  =VLOOKUP(lookup_value, table_array, col_index_num, [range_lookup])  |  Searches FIRST column, returns value to the RIGHT</t>
  </si>
  <si>
    <t>VLOOKUP</t>
  </si>
  <si>
    <t>Find the DEPARTMENT of employee EMP-012.</t>
  </si>
  <si>
    <t>Corp_Database!$A$1:$X$61 (col A)</t>
  </si>
  <si>
    <t>col_index=3 (Col C)</t>
  </si>
  <si>
    <t>FALSE (exact)</t>
  </si>
  <si>
    <t>Text: department</t>
  </si>
  <si>
    <t>Find the MONTHLY SALARY of employee EMP-031.</t>
  </si>
  <si>
    <t>Corp_Database!$A$1:$X$61</t>
  </si>
  <si>
    <t>col_index=17 (Col Q)</t>
  </si>
  <si>
    <t>FALSE</t>
  </si>
  <si>
    <t>Number (Rs.)</t>
  </si>
  <si>
    <t>Find the PERFORMANCE SCORE of employee EMP-047.</t>
  </si>
  <si>
    <t>col_index=14 (Col N)</t>
  </si>
  <si>
    <t>Number 0-100</t>
  </si>
  <si>
    <t>Find the CITY of employee EMP-019.</t>
  </si>
  <si>
    <t>col_index=6 (Col F)</t>
  </si>
  <si>
    <t>Text: city name</t>
  </si>
  <si>
    <t>Find the ANNUAL TARGET (Rs.) of employee EMP-055.</t>
  </si>
  <si>
    <t>col_index=22 (Col V)</t>
  </si>
  <si>
    <t>Find the GRADE of employee EMP-003 and then use that grade to look up the POSITION TITLE from the Grade table in Dept_KPI_Table.
This is a NESTED VLOOKUP — the result of the first becomes the lookup value for the second.</t>
  </si>
  <si>
    <t>EMP-003 → Grade</t>
  </si>
  <si>
    <t>Corp_Database!$A$1:$X$61 (inner)
Dept_KPI_Table!$A$18:$D$22 (outer)</t>
  </si>
  <si>
    <t>col_index=2 (outer)</t>
  </si>
  <si>
    <t>FALSE for both</t>
  </si>
  <si>
    <t>Text: position title</t>
  </si>
  <si>
    <t xml:space="preserve">  HLOOKUP  —  =HLOOKUP(lookup_value, table_array, row_index_num, [range_lookup])  |  Searches FIRST row, returns value BELOW</t>
  </si>
  <si>
    <t>HLOOKUP</t>
  </si>
  <si>
    <t>Find the ANNUAL SALES TARGET for the 'Marketing' department.
Table: Dept_KPI_Table!$A$5:$H$10  row_index=2</t>
  </si>
  <si>
    <t>"Marketing"</t>
  </si>
  <si>
    <t>Dept_KPI_Table!$A$5:$H$10 (row 1=dept names)</t>
  </si>
  <si>
    <t>row_index=2 (Sales Target row)</t>
  </si>
  <si>
    <t>Find the AVERAGE PERFORMANCE SCORE TARGET for the 'IT' department.
row_index=3 (Avg Score row)</t>
  </si>
  <si>
    <t>"IT"</t>
  </si>
  <si>
    <t>Dept_KPI_Table!$A$5:$H$10</t>
  </si>
  <si>
    <t>row_index=3 (Avg Score row)</t>
  </si>
  <si>
    <t>Number</t>
  </si>
  <si>
    <t>Find the BONUS RATE (%) for the 'Procurement' department.
row_index=5 (Bonus Rate row)</t>
  </si>
  <si>
    <t>"Procurement"</t>
  </si>
  <si>
    <t>row_index=5 (Bonus Rate row)</t>
  </si>
  <si>
    <t>Number: %</t>
  </si>
  <si>
    <t>Find the TRAINING BUDGET for the 'Legal' department.
row_index=6 (Training Budget row)</t>
  </si>
  <si>
    <t>"Legal"</t>
  </si>
  <si>
    <t>row_index=6 (Training Budget row)</t>
  </si>
  <si>
    <t>NESTED: First use VLOOKUP to find EMP-028's Department, then use that result as the lookup value in HLOOKUP to find their department's Annual Sales Target.</t>
  </si>
  <si>
    <t>EMP-028 → Dept</t>
  </si>
  <si>
    <t>Inner: Corp_Database!$A$1:$X$61
Outer: Dept_KPI_Table!$A$5:$H$10</t>
  </si>
  <si>
    <t>row_index=2</t>
  </si>
  <si>
    <t>DYNAMIC: Cell D_Input below holds a department name typed by the user.
Write an HLOOKUP that reads from D_Input (not a hardcoded string) to return that dept's Minimum Experience requirement.</t>
  </si>
  <si>
    <t>Cell below (D_Input)</t>
  </si>
  <si>
    <t>row_index=4 (Min Exp)</t>
  </si>
  <si>
    <t>Number (Yrs)</t>
  </si>
  <si>
    <t xml:space="preserve">  Dynamic input cell for Task 12 — type any department name here:</t>
  </si>
  <si>
    <t>→ D_Input Cell:</t>
  </si>
  <si>
    <t>Valid values: Sales | IT | HR | Finance | Operations | Marketing | Legal | Procurement</t>
  </si>
  <si>
    <t xml:space="preserve">  XLOOKUP  —  =XLOOKUP(lookup_value, lookup_array, return_array, [if_not_found], [match_mode], [search_mode])  |  Excel 365/2021+</t>
  </si>
  <si>
    <t>XLOOKUP</t>
  </si>
  <si>
    <t>BASIC: Find the FULL NAME of employee EMP-038 using XLOOKUP.
Specify lookup_array and return_array as direct column ranges.</t>
  </si>
  <si>
    <t>Corp_Database!$A$2:$A$61 (EmpID col)</t>
  </si>
  <si>
    <t>Corp_Database!$B$2:$B$61 (Name col)</t>
  </si>
  <si>
    <t>Text: full name</t>
  </si>
  <si>
    <t>BASIC: Find the TOTAL SALES for employee EMP-052.</t>
  </si>
  <si>
    <t>Corp_Database!$A$2:$A$61</t>
  </si>
  <si>
    <t>Corp_Database!$L$2:$L$61</t>
  </si>
  <si>
    <t>IF NOT FOUND: Look up employee 'EMP-099' (does not exist).
Return the message 'Employee Not in System' using the 4th argument.</t>
  </si>
  <si>
    <t>EMP-099</t>
  </si>
  <si>
    <t>Corp_Database!$B$2:$B$61</t>
  </si>
  <si>
    <t>"Employee Not in System"</t>
  </si>
  <si>
    <t>Text: error message</t>
  </si>
  <si>
    <t>LEFT LOOKUP: Find the EMP ID of the employee whose MONTHLY SALARY is exactly 95000.
The return column (A) is to the LEFT of the lookup column (Q) — VLOOKUP cannot do this!</t>
  </si>
  <si>
    <t>95000</t>
  </si>
  <si>
    <t>Corp_Database!$Q$2:$Q$61 (Salary)</t>
  </si>
  <si>
    <t>Corp_Database!$A$2:$A$61 (EmpID)</t>
  </si>
  <si>
    <t>"Not Found"</t>
  </si>
  <si>
    <t>Text: EMP-ID</t>
  </si>
  <si>
    <t>REVERSE SEARCH: Find the EMP ID of the LAST employee in the 'Sales' department.
Use search_mode = -1 to scan from bottom up (last to first).</t>
  </si>
  <si>
    <t>"Sales"</t>
  </si>
  <si>
    <t>Corp_Database!$C$2:$C$61 (Dept)</t>
  </si>
  <si>
    <t>"Not Found",0,-1</t>
  </si>
  <si>
    <t>Text: EMP-ID (last Sales emp)</t>
  </si>
  <si>
    <t>WILDCARD: Find the DEPARTMENT of the employee whose name STARTS WITH 'Sunita'.
Use match_mode=2 and lookup value 'Sunita*'.</t>
  </si>
  <si>
    <t>"Sunita*"</t>
  </si>
  <si>
    <t>Corp_Database!$B$2:$B$61 (Name)</t>
  </si>
  <si>
    <t>"Not Found",2</t>
  </si>
  <si>
    <t xml:space="preserve">  XLOOKUP advantage over VLOOKUP: No column index numbers (won't break if columns are inserted) · Can look LEFT · Built-in error handling · Wildcard support · Reverse search · Spill across multiple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</si>
</sst>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1B5E20"/>
      <name val="Arial"/>
      <charset val="1"/>
    </font>
    <font>
      <sz val="10"/>
      <color rgb="FF1A1108"/>
      <name val="Arial"/>
      <charset val="1"/>
    </font>
    <font>
      <b/>
      <sz val="10"/>
      <color rgb="FFB34E08"/>
      <name val="Arial"/>
      <charset val="1"/>
    </font>
    <font>
      <b/>
      <sz val="11"/>
      <color rgb="FF0D47A1"/>
      <name val="Arial"/>
      <charset val="1"/>
    </font>
    <font>
      <b/>
      <sz val="11"/>
      <color rgb="FF4A148C"/>
      <name val="Arial"/>
      <charset val="1"/>
    </font>
    <font>
      <b/>
      <sz val="10"/>
      <color rgb="FF1A1108"/>
      <name val="Arial"/>
      <charset val="1"/>
    </font>
    <font>
      <b/>
      <sz val="10"/>
      <color rgb="FF0D47A1"/>
      <name val="Arial"/>
      <charset val="1"/>
    </font>
    <font>
      <b/>
      <sz val="10"/>
      <color rgb="FF1B5E20"/>
      <name val="Arial"/>
      <charset val="1"/>
    </font>
    <font>
      <b/>
      <sz val="10"/>
      <color rgb="FF4A148C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9"/>
      <color rgb="FFE8630A"/>
      <name val="Arial"/>
      <charset val="1"/>
    </font>
    <font>
      <b/>
      <sz val="14"/>
      <color rgb="FFFFFFFF"/>
      <name val="Arial"/>
      <charset val="1"/>
    </font>
    <font>
      <sz val="9"/>
      <color rgb="FF1B5E20"/>
      <name val="Arial"/>
      <charset val="1"/>
    </font>
    <font>
      <sz val="9"/>
      <color rgb="FF1B5E20"/>
      <name val="Courier New"/>
      <charset val="1"/>
    </font>
    <font>
      <sz val="9"/>
      <color rgb="FF0D47A1"/>
      <name val="Courier New"/>
      <charset val="1"/>
    </font>
    <font>
      <b/>
      <sz val="11"/>
      <color rgb="FF006064"/>
      <name val="Arial"/>
      <charset val="1"/>
    </font>
    <font>
      <b/>
      <sz val="10"/>
      <color rgb="FF006064"/>
      <name val="Arial"/>
      <charset val="1"/>
    </font>
    <font>
      <sz val="9"/>
      <color rgb="FF006064"/>
      <name val="Arial"/>
      <charset val="1"/>
    </font>
    <font>
      <sz val="9"/>
      <color rgb="FF006064"/>
      <name val="Courier New"/>
      <charset val="1"/>
    </font>
    <font>
      <b/>
      <sz val="11"/>
      <color rgb="FFE65100"/>
      <name val="Arial"/>
      <charset val="1"/>
    </font>
    <font>
      <b/>
      <sz val="10"/>
      <color rgb="FFE65100"/>
      <name val="Arial"/>
      <charset val="1"/>
    </font>
    <font>
      <sz val="9"/>
      <color rgb="FFE65100"/>
      <name val="Arial"/>
      <charset val="1"/>
    </font>
    <font>
      <sz val="9"/>
      <color rgb="FFE65100"/>
      <name val="Courier New"/>
      <charset val="1"/>
    </font>
    <font>
      <sz val="9"/>
      <color rgb="FF0D47A1"/>
      <name val="Arial"/>
      <charset val="1"/>
    </font>
    <font>
      <sz val="9"/>
      <color rgb="FF444444"/>
      <name val="Arial"/>
      <charset val="1"/>
    </font>
    <font>
      <sz val="9"/>
      <color rgb="FF4A148C"/>
      <name val="Arial"/>
      <charset val="1"/>
    </font>
    <font>
      <sz val="9"/>
      <color rgb="FF4A148C"/>
      <name val="Courier New"/>
      <charset val="1"/>
    </font>
  </fonts>
  <fills count="29">
    <fill>
      <patternFill patternType="none"/>
    </fill>
    <fill>
      <patternFill patternType="gray125"/>
    </fill>
    <fill>
      <patternFill patternType="solid">
        <fgColor rgb="FFE8630A"/>
        <bgColor rgb="FFE65100"/>
      </patternFill>
    </fill>
    <fill>
      <patternFill patternType="solid">
        <fgColor rgb="FFB34E08"/>
        <bgColor rgb="FFE65100"/>
      </patternFill>
    </fill>
    <fill>
      <patternFill patternType="solid">
        <fgColor rgb="FF1A1108"/>
        <bgColor rgb="FF000000"/>
      </patternFill>
    </fill>
    <fill>
      <patternFill patternType="solid">
        <fgColor rgb="FFE8F5E9"/>
        <bgColor rgb="FFECEFF1"/>
      </patternFill>
    </fill>
    <fill>
      <patternFill patternType="solid">
        <fgColor rgb="FFF5F5F5"/>
        <bgColor rgb="FFF8F8F8"/>
      </patternFill>
    </fill>
    <fill>
      <patternFill patternType="solid">
        <fgColor rgb="FFFFF3E0"/>
        <bgColor rgb="FFFFEBEE"/>
      </patternFill>
    </fill>
    <fill>
      <patternFill patternType="solid">
        <fgColor rgb="FFE3F2FD"/>
        <bgColor rgb="FFE0F7FA"/>
      </patternFill>
    </fill>
    <fill>
      <patternFill patternType="solid">
        <fgColor rgb="FFF3E5F5"/>
        <bgColor rgb="FFFCE4EC"/>
      </patternFill>
    </fill>
    <fill>
      <patternFill patternType="solid">
        <fgColor rgb="FFFFFFFF"/>
        <bgColor rgb="FFF8F8F8"/>
      </patternFill>
    </fill>
    <fill>
      <patternFill patternType="solid">
        <fgColor rgb="FFFCE4EC"/>
        <bgColor rgb="FFFBE9E7"/>
      </patternFill>
    </fill>
    <fill>
      <patternFill patternType="solid">
        <fgColor rgb="FFE0F7FA"/>
        <bgColor rgb="FFE3F2FD"/>
      </patternFill>
    </fill>
    <fill>
      <patternFill patternType="solid">
        <fgColor rgb="FFECEFF1"/>
        <bgColor rgb="FFEEEEEE"/>
      </patternFill>
    </fill>
    <fill>
      <patternFill patternType="solid">
        <fgColor rgb="FFFFE0B2"/>
        <bgColor rgb="FFFBE9E7"/>
      </patternFill>
    </fill>
    <fill>
      <patternFill patternType="solid">
        <fgColor rgb="FF0D47A1"/>
        <bgColor rgb="FF333399"/>
      </patternFill>
    </fill>
    <fill>
      <patternFill patternType="solid">
        <fgColor rgb="FF1B5E20"/>
        <bgColor rgb="FF006064"/>
      </patternFill>
    </fill>
    <fill>
      <patternFill patternType="solid">
        <fgColor rgb="FFFFFDE7"/>
        <bgColor rgb="FFF8F8F8"/>
      </patternFill>
    </fill>
    <fill>
      <patternFill patternType="solid">
        <fgColor rgb="FF006064"/>
        <bgColor rgb="FF008080"/>
      </patternFill>
    </fill>
    <fill>
      <patternFill patternType="solid">
        <fgColor rgb="FFE65100"/>
        <bgColor rgb="FFE8630A"/>
      </patternFill>
    </fill>
    <fill>
      <patternFill patternType="solid">
        <fgColor rgb="FFFBE9E7"/>
        <bgColor rgb="FFFFEBEE"/>
      </patternFill>
    </fill>
    <fill>
      <patternFill patternType="solid">
        <fgColor rgb="FFEEEEEE"/>
        <bgColor rgb="FFECEFF1"/>
      </patternFill>
    </fill>
    <fill>
      <patternFill patternType="solid">
        <fgColor rgb="FFF8F8F8"/>
        <bgColor rgb="FFF5F5F5"/>
      </patternFill>
    </fill>
    <fill>
      <patternFill patternType="solid">
        <fgColor rgb="FFF2F2F2"/>
        <bgColor rgb="FFF5F5F5"/>
      </patternFill>
    </fill>
    <fill>
      <patternFill patternType="solid">
        <fgColor rgb="FFBBDEFB"/>
        <bgColor rgb="FFE3F2FD"/>
      </patternFill>
    </fill>
    <fill>
      <patternFill patternType="solid">
        <fgColor rgb="FF880E4F"/>
        <bgColor rgb="FF800080"/>
      </patternFill>
    </fill>
    <fill>
      <patternFill patternType="solid">
        <fgColor rgb="FFB71C1C"/>
        <bgColor rgb="FF880E4F"/>
      </patternFill>
    </fill>
    <fill>
      <patternFill patternType="solid">
        <fgColor rgb="FFFFEBEE"/>
        <bgColor rgb="FFFBE9E7"/>
      </patternFill>
    </fill>
    <fill>
      <patternFill patternType="solid">
        <fgColor rgb="FF4A148C"/>
        <bgColor rgb="FF333399"/>
      </patternFill>
    </fill>
  </fills>
  <borders count="33">
    <border>
      <left/>
      <right/>
      <top/>
      <bottom/>
      <diagonal/>
    </border>
    <border>
      <left style="medium">
        <color rgb="FFE8630A"/>
      </left>
      <right/>
      <top style="medium">
        <color rgb="FFE8630A"/>
      </top>
      <bottom style="medium">
        <color rgb="FFE8630A"/>
      </bottom>
      <diagonal/>
    </border>
    <border>
      <left style="thin">
        <color rgb="FF1B5E20"/>
      </left>
      <right/>
      <top style="thin">
        <color rgb="FF1B5E20"/>
      </top>
      <bottom style="thin">
        <color rgb="FF1B5E20"/>
      </bottom>
      <diagonal/>
    </border>
    <border>
      <left style="thin">
        <color rgb="FFB34E08"/>
      </left>
      <right/>
      <top style="thin">
        <color rgb="FFB34E08"/>
      </top>
      <bottom style="thin">
        <color rgb="FFB34E08"/>
      </bottom>
      <diagonal/>
    </border>
    <border>
      <left style="thin">
        <color rgb="FFE8630A"/>
      </left>
      <right/>
      <top style="thin">
        <color rgb="FFE8630A"/>
      </top>
      <bottom style="thin">
        <color rgb="FFE8630A"/>
      </bottom>
      <diagonal/>
    </border>
    <border>
      <left style="thin">
        <color rgb="FF0D47A1"/>
      </left>
      <right/>
      <top style="thin">
        <color rgb="FF0D47A1"/>
      </top>
      <bottom style="thin">
        <color rgb="FF0D47A1"/>
      </bottom>
      <diagonal/>
    </border>
    <border>
      <left style="thin">
        <color rgb="FF4A148C"/>
      </left>
      <right/>
      <top style="thin">
        <color rgb="FF4A148C"/>
      </top>
      <bottom style="thin">
        <color rgb="FF4A148C"/>
      </bottom>
      <diagonal/>
    </border>
    <border>
      <left style="thin">
        <color rgb="FFB34E08"/>
      </left>
      <right style="thin">
        <color rgb="FFB34E08"/>
      </right>
      <top style="thin">
        <color rgb="FFB34E08"/>
      </top>
      <bottom style="thin">
        <color rgb="FFB34E08"/>
      </bottom>
      <diagonal/>
    </border>
    <border>
      <left style="medium">
        <color rgb="FFFF7520"/>
      </left>
      <right style="medium">
        <color rgb="FFFF7520"/>
      </right>
      <top style="medium">
        <color rgb="FFFF7520"/>
      </top>
      <bottom style="medium">
        <color rgb="FFFF7520"/>
      </bottom>
      <diagonal/>
    </border>
    <border>
      <left style="medium">
        <color rgb="FFE65100"/>
      </left>
      <right/>
      <top style="medium">
        <color rgb="FFE65100"/>
      </top>
      <bottom style="medium">
        <color rgb="FFE65100"/>
      </bottom>
      <diagonal/>
    </border>
    <border>
      <left style="thin">
        <color rgb="FFB34E08"/>
      </left>
      <right style="thin">
        <color rgb="FFB34E08"/>
      </right>
      <top style="thin">
        <color rgb="FFB34E08"/>
      </top>
      <bottom/>
      <diagonal/>
    </border>
    <border>
      <left style="thin">
        <color rgb="FF1B5E20"/>
      </left>
      <right style="thin">
        <color rgb="FF1B5E20"/>
      </right>
      <top style="thin">
        <color rgb="FF1B5E20"/>
      </top>
      <bottom style="thin">
        <color rgb="FF1B5E2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FF7520"/>
      </left>
      <right style="medium">
        <color rgb="FFFF7520"/>
      </right>
      <top style="medium">
        <color rgb="FFFF7520"/>
      </top>
      <bottom/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medium">
        <color rgb="FF0D47A1"/>
      </left>
      <right/>
      <top style="medium">
        <color rgb="FF0D47A1"/>
      </top>
      <bottom style="medium">
        <color rgb="FF0D47A1"/>
      </bottom>
      <diagonal/>
    </border>
    <border>
      <left style="thin">
        <color rgb="FF0D47A1"/>
      </left>
      <right style="thin">
        <color rgb="FF0D47A1"/>
      </right>
      <top style="thin">
        <color rgb="FF0D47A1"/>
      </top>
      <bottom style="thin">
        <color rgb="FF0D47A1"/>
      </bottom>
      <diagonal/>
    </border>
    <border>
      <left style="medium">
        <color rgb="FF0D47A1"/>
      </left>
      <right style="medium">
        <color rgb="FF0D47A1"/>
      </right>
      <top style="medium">
        <color rgb="FF0D47A1"/>
      </top>
      <bottom style="medium">
        <color rgb="FF0D47A1"/>
      </bottom>
      <diagonal/>
    </border>
    <border>
      <left style="medium">
        <color rgb="FF006064"/>
      </left>
      <right/>
      <top style="medium">
        <color rgb="FF006064"/>
      </top>
      <bottom style="medium">
        <color rgb="FF006064"/>
      </bottom>
      <diagonal/>
    </border>
    <border>
      <left style="thin">
        <color rgb="FF006064"/>
      </left>
      <right style="thin">
        <color rgb="FF006064"/>
      </right>
      <top style="thin">
        <color rgb="FF006064"/>
      </top>
      <bottom style="thin">
        <color rgb="FF006064"/>
      </bottom>
      <diagonal/>
    </border>
    <border>
      <left style="medium">
        <color rgb="FF006064"/>
      </left>
      <right style="medium">
        <color rgb="FF006064"/>
      </right>
      <top style="medium">
        <color rgb="FF006064"/>
      </top>
      <bottom style="medium">
        <color rgb="FF006064"/>
      </bottom>
      <diagonal/>
    </border>
    <border>
      <left style="medium">
        <color rgb="FF1B5E20"/>
      </left>
      <right/>
      <top style="medium">
        <color rgb="FF1B5E20"/>
      </top>
      <bottom style="medium">
        <color rgb="FF1B5E20"/>
      </bottom>
      <diagonal/>
    </border>
    <border>
      <left style="medium">
        <color rgb="FF880E4F"/>
      </left>
      <right/>
      <top style="medium">
        <color rgb="FF880E4F"/>
      </top>
      <bottom style="medium">
        <color rgb="FF880E4F"/>
      </bottom>
      <diagonal/>
    </border>
    <border>
      <left style="thin">
        <color rgb="FF880E4F"/>
      </left>
      <right style="thin">
        <color rgb="FF880E4F"/>
      </right>
      <top style="thin">
        <color rgb="FF880E4F"/>
      </top>
      <bottom style="thin">
        <color rgb="FF880E4F"/>
      </bottom>
      <diagonal/>
    </border>
    <border>
      <left style="medium">
        <color rgb="FF880E4F"/>
      </left>
      <right style="medium">
        <color rgb="FF880E4F"/>
      </right>
      <top style="medium">
        <color rgb="FF880E4F"/>
      </top>
      <bottom style="medium">
        <color rgb="FF880E4F"/>
      </bottom>
      <diagonal/>
    </border>
    <border>
      <left style="medium">
        <color rgb="FFB71C1C"/>
      </left>
      <right/>
      <top style="medium">
        <color rgb="FFB71C1C"/>
      </top>
      <bottom style="medium">
        <color rgb="FFB71C1C"/>
      </bottom>
      <diagonal/>
    </border>
    <border>
      <left style="thin">
        <color rgb="FFB71C1C"/>
      </left>
      <right style="thin">
        <color rgb="FFB71C1C"/>
      </right>
      <top style="thin">
        <color rgb="FFB71C1C"/>
      </top>
      <bottom style="thin">
        <color rgb="FFB71C1C"/>
      </bottom>
      <diagonal/>
    </border>
    <border>
      <left style="medium">
        <color rgb="FFB71C1C"/>
      </left>
      <right style="medium">
        <color rgb="FFB71C1C"/>
      </right>
      <top style="medium">
        <color rgb="FFB71C1C"/>
      </top>
      <bottom style="medium">
        <color rgb="FFB71C1C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  <border>
      <left style="medium">
        <color rgb="FFE65100"/>
      </left>
      <right style="medium">
        <color rgb="FFE65100"/>
      </right>
      <top style="medium">
        <color rgb="FFE65100"/>
      </top>
      <bottom style="medium">
        <color rgb="FFE65100"/>
      </bottom>
      <diagonal/>
    </border>
    <border>
      <left style="medium">
        <color rgb="FF4A148C"/>
      </left>
      <right/>
      <top style="medium">
        <color rgb="FF4A148C"/>
      </top>
      <bottom style="medium">
        <color rgb="FF4A148C"/>
      </bottom>
      <diagonal/>
    </border>
    <border>
      <left style="thin">
        <color rgb="FF4A148C"/>
      </left>
      <right style="thin">
        <color rgb="FF4A148C"/>
      </right>
      <top style="thin">
        <color rgb="FF4A148C"/>
      </top>
      <bottom style="thin">
        <color rgb="FF4A148C"/>
      </bottom>
      <diagonal/>
    </border>
    <border>
      <left style="medium">
        <color rgb="FF4A148C"/>
      </left>
      <right style="medium">
        <color rgb="FF4A148C"/>
      </right>
      <top style="medium">
        <color rgb="FF4A148C"/>
      </top>
      <bottom style="medium">
        <color rgb="FF4A148C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1" fillId="5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3" fontId="5" fillId="5" borderId="7" xfId="0" applyNumberFormat="1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3" fontId="5" fillId="6" borderId="7" xfId="0" applyNumberFormat="1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 wrapText="1"/>
    </xf>
    <xf numFmtId="3" fontId="5" fillId="13" borderId="7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left" vertical="center" wrapText="1"/>
    </xf>
    <xf numFmtId="3" fontId="5" fillId="7" borderId="7" xfId="0" applyNumberFormat="1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14" fillId="16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left" vertical="center" wrapText="1"/>
    </xf>
    <xf numFmtId="0" fontId="11" fillId="10" borderId="7" xfId="0" applyFont="1" applyFill="1" applyBorder="1" applyAlignment="1">
      <alignment horizontal="left" vertical="center" wrapText="1"/>
    </xf>
    <xf numFmtId="0" fontId="5" fillId="10" borderId="7" xfId="0" applyFont="1" applyFill="1" applyBorder="1" applyAlignment="1">
      <alignment horizontal="left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left" vertical="top" wrapText="1"/>
    </xf>
    <xf numFmtId="0" fontId="17" fillId="5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8" fillId="17" borderId="8" xfId="0" applyFont="1" applyFill="1" applyBorder="1" applyAlignment="1">
      <alignment horizontal="left" vertical="top" wrapText="1"/>
    </xf>
    <xf numFmtId="0" fontId="13" fillId="10" borderId="7" xfId="0" applyFont="1" applyFill="1" applyBorder="1" applyAlignment="1">
      <alignment horizontal="center" vertical="center" wrapText="1"/>
    </xf>
    <xf numFmtId="0" fontId="19" fillId="10" borderId="7" xfId="0" applyFont="1" applyFill="1" applyBorder="1" applyAlignment="1">
      <alignment horizontal="left" vertical="top" wrapText="1"/>
    </xf>
    <xf numFmtId="0" fontId="4" fillId="6" borderId="7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left" vertical="top" wrapText="1"/>
    </xf>
    <xf numFmtId="0" fontId="13" fillId="6" borderId="7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left" vertical="top" wrapText="1"/>
    </xf>
    <xf numFmtId="0" fontId="20" fillId="10" borderId="7" xfId="0" applyFont="1" applyFill="1" applyBorder="1" applyAlignment="1">
      <alignment horizontal="center" vertical="center" wrapText="1"/>
    </xf>
    <xf numFmtId="0" fontId="21" fillId="10" borderId="7" xfId="0" applyFont="1" applyFill="1" applyBorder="1" applyAlignment="1">
      <alignment horizontal="center" vertical="center" wrapText="1"/>
    </xf>
    <xf numFmtId="0" fontId="22" fillId="12" borderId="7" xfId="0" applyFont="1" applyFill="1" applyBorder="1" applyAlignment="1">
      <alignment horizontal="center" vertical="center" wrapText="1"/>
    </xf>
    <xf numFmtId="0" fontId="21" fillId="12" borderId="7" xfId="0" applyFont="1" applyFill="1" applyBorder="1" applyAlignment="1">
      <alignment horizontal="center" vertical="center" wrapText="1"/>
    </xf>
    <xf numFmtId="0" fontId="23" fillId="17" borderId="8" xfId="0" applyFont="1" applyFill="1" applyBorder="1" applyAlignment="1">
      <alignment horizontal="left" vertical="top" wrapText="1"/>
    </xf>
    <xf numFmtId="0" fontId="20" fillId="6" borderId="7" xfId="0" applyFont="1" applyFill="1" applyBorder="1" applyAlignment="1">
      <alignment horizontal="center" vertical="center" wrapText="1"/>
    </xf>
    <xf numFmtId="0" fontId="21" fillId="6" borderId="7" xfId="0" applyFont="1" applyFill="1" applyBorder="1" applyAlignment="1">
      <alignment horizontal="center" vertical="center" wrapText="1"/>
    </xf>
    <xf numFmtId="0" fontId="24" fillId="10" borderId="7" xfId="0" applyFont="1" applyFill="1" applyBorder="1" applyAlignment="1">
      <alignment horizontal="center" vertical="center" wrapText="1"/>
    </xf>
    <xf numFmtId="0" fontId="25" fillId="10" borderId="7" xfId="0" applyFont="1" applyFill="1" applyBorder="1" applyAlignment="1">
      <alignment horizontal="center" vertical="center" wrapText="1"/>
    </xf>
    <xf numFmtId="0" fontId="26" fillId="20" borderId="7" xfId="0" applyFont="1" applyFill="1" applyBorder="1" applyAlignment="1">
      <alignment horizontal="center" vertical="center" wrapText="1"/>
    </xf>
    <xf numFmtId="0" fontId="25" fillId="20" borderId="7" xfId="0" applyFont="1" applyFill="1" applyBorder="1" applyAlignment="1">
      <alignment horizontal="center" vertical="center" wrapText="1"/>
    </xf>
    <xf numFmtId="0" fontId="27" fillId="17" borderId="8" xfId="0" applyFont="1" applyFill="1" applyBorder="1" applyAlignment="1">
      <alignment horizontal="left" vertical="top" wrapText="1"/>
    </xf>
    <xf numFmtId="0" fontId="24" fillId="6" borderId="7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14" fillId="15" borderId="7" xfId="0" applyFont="1" applyFill="1" applyBorder="1" applyAlignment="1">
      <alignment horizontal="center" vertical="center" wrapText="1"/>
    </xf>
    <xf numFmtId="0" fontId="14" fillId="16" borderId="11" xfId="0" applyFont="1" applyFill="1" applyBorder="1" applyAlignment="1">
      <alignment horizontal="center" vertical="center" wrapText="1"/>
    </xf>
    <xf numFmtId="0" fontId="0" fillId="21" borderId="12" xfId="0" applyFill="1" applyBorder="1"/>
    <xf numFmtId="0" fontId="10" fillId="5" borderId="14" xfId="0" applyFont="1" applyFill="1" applyBorder="1" applyAlignment="1">
      <alignment horizontal="center" vertical="center" wrapText="1"/>
    </xf>
    <xf numFmtId="0" fontId="0" fillId="23" borderId="0" xfId="0" applyFill="1"/>
    <xf numFmtId="0" fontId="14" fillId="15" borderId="16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  <xf numFmtId="0" fontId="14" fillId="18" borderId="19" xfId="0" applyFont="1" applyFill="1" applyBorder="1" applyAlignment="1">
      <alignment horizontal="center" vertical="center" wrapText="1"/>
    </xf>
    <xf numFmtId="0" fontId="10" fillId="12" borderId="20" xfId="0" applyFont="1" applyFill="1" applyBorder="1" applyAlignment="1">
      <alignment horizontal="center" vertical="center" wrapText="1"/>
    </xf>
    <xf numFmtId="0" fontId="10" fillId="24" borderId="17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4" fillId="25" borderId="23" xfId="0" applyFont="1" applyFill="1" applyBorder="1" applyAlignment="1">
      <alignment horizontal="center" vertical="center" wrapText="1"/>
    </xf>
    <xf numFmtId="0" fontId="10" fillId="11" borderId="24" xfId="0" applyFont="1" applyFill="1" applyBorder="1" applyAlignment="1">
      <alignment horizontal="center" vertical="center" wrapText="1"/>
    </xf>
    <xf numFmtId="0" fontId="14" fillId="26" borderId="26" xfId="0" applyFont="1" applyFill="1" applyBorder="1" applyAlignment="1">
      <alignment horizontal="center" vertical="center" wrapText="1"/>
    </xf>
    <xf numFmtId="0" fontId="10" fillId="27" borderId="27" xfId="0" applyFont="1" applyFill="1" applyBorder="1" applyAlignment="1">
      <alignment horizontal="center" vertical="center" wrapText="1"/>
    </xf>
    <xf numFmtId="0" fontId="14" fillId="19" borderId="28" xfId="0" applyFont="1" applyFill="1" applyBorder="1" applyAlignment="1">
      <alignment horizontal="center" vertical="center" wrapText="1"/>
    </xf>
    <xf numFmtId="0" fontId="10" fillId="20" borderId="29" xfId="0" applyFont="1" applyFill="1" applyBorder="1" applyAlignment="1">
      <alignment horizontal="center" vertical="center" wrapText="1"/>
    </xf>
    <xf numFmtId="0" fontId="14" fillId="28" borderId="31" xfId="0" applyFont="1" applyFill="1" applyBorder="1" applyAlignment="1">
      <alignment horizontal="center" vertical="center" wrapText="1"/>
    </xf>
    <xf numFmtId="0" fontId="10" fillId="9" borderId="32" xfId="0" applyFont="1" applyFill="1" applyBorder="1" applyAlignment="1">
      <alignment horizontal="center" vertical="center" wrapText="1"/>
    </xf>
    <xf numFmtId="0" fontId="14" fillId="28" borderId="7" xfId="0" applyFont="1" applyFill="1" applyBorder="1" applyAlignment="1">
      <alignment horizontal="center" vertical="center" wrapText="1"/>
    </xf>
    <xf numFmtId="0" fontId="29" fillId="10" borderId="7" xfId="0" applyFont="1" applyFill="1" applyBorder="1" applyAlignment="1">
      <alignment horizontal="left" vertical="top" wrapText="1"/>
    </xf>
    <xf numFmtId="0" fontId="17" fillId="10" borderId="7" xfId="0" applyFont="1" applyFill="1" applyBorder="1" applyAlignment="1">
      <alignment horizontal="left" vertical="top" wrapText="1"/>
    </xf>
    <xf numFmtId="0" fontId="29" fillId="6" borderId="7" xfId="0" applyFont="1" applyFill="1" applyBorder="1" applyAlignment="1">
      <alignment horizontal="left" vertical="top" wrapText="1"/>
    </xf>
    <xf numFmtId="0" fontId="17" fillId="6" borderId="7" xfId="0" applyFont="1" applyFill="1" applyBorder="1" applyAlignment="1">
      <alignment horizontal="left" vertical="top" wrapText="1"/>
    </xf>
    <xf numFmtId="0" fontId="7" fillId="10" borderId="7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28" fillId="10" borderId="7" xfId="0" applyFont="1" applyFill="1" applyBorder="1" applyAlignment="1">
      <alignment horizontal="left" vertical="top" wrapText="1"/>
    </xf>
    <xf numFmtId="0" fontId="19" fillId="17" borderId="8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left" vertical="top" wrapText="1"/>
    </xf>
    <xf numFmtId="0" fontId="7" fillId="17" borderId="8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left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9" borderId="7" xfId="0" applyFont="1" applyFill="1" applyBorder="1" applyAlignment="1">
      <alignment horizontal="center" vertical="center" wrapText="1"/>
    </xf>
    <xf numFmtId="0" fontId="30" fillId="10" borderId="7" xfId="0" applyFont="1" applyFill="1" applyBorder="1" applyAlignment="1">
      <alignment horizontal="left" vertical="top" wrapText="1"/>
    </xf>
    <xf numFmtId="0" fontId="31" fillId="17" borderId="8" xfId="0" applyFont="1" applyFill="1" applyBorder="1" applyAlignment="1">
      <alignment horizontal="left" vertical="top" wrapText="1"/>
    </xf>
    <xf numFmtId="0" fontId="8" fillId="6" borderId="7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30" fillId="6" borderId="7" xfId="0" applyFont="1" applyFill="1" applyBorder="1" applyAlignment="1">
      <alignment horizontal="left" vertical="top" wrapText="1"/>
    </xf>
    <xf numFmtId="0" fontId="12" fillId="9" borderId="3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  <xf numFmtId="0" fontId="9" fillId="10" borderId="0" xfId="0" applyFont="1" applyFill="1" applyAlignment="1">
      <alignment horizontal="left" vertical="center" wrapText="1"/>
    </xf>
    <xf numFmtId="0" fontId="13" fillId="7" borderId="0" xfId="0" applyFont="1" applyFill="1" applyAlignment="1">
      <alignment horizontal="left" vertical="center" wrapText="1"/>
    </xf>
    <xf numFmtId="0" fontId="13" fillId="14" borderId="0" xfId="0" applyFont="1" applyFill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lef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left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2" fillId="19" borderId="9" xfId="0" applyFont="1" applyFill="1" applyBorder="1" applyAlignment="1">
      <alignment horizontal="left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left" vertical="top" wrapText="1"/>
    </xf>
    <xf numFmtId="0" fontId="28" fillId="8" borderId="10" xfId="0" applyFont="1" applyFill="1" applyBorder="1" applyAlignment="1">
      <alignment horizontal="center" vertical="center" wrapText="1"/>
    </xf>
    <xf numFmtId="0" fontId="0" fillId="22" borderId="0" xfId="0" applyFill="1"/>
    <xf numFmtId="0" fontId="19" fillId="17" borderId="13" xfId="0" applyFont="1" applyFill="1" applyBorder="1" applyAlignment="1">
      <alignment horizontal="left" vertical="top" wrapText="1"/>
    </xf>
    <xf numFmtId="0" fontId="13" fillId="10" borderId="1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left" vertical="top" wrapText="1"/>
    </xf>
    <xf numFmtId="0" fontId="13" fillId="6" borderId="10" xfId="0" applyFont="1" applyFill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left" vertical="center" wrapText="1"/>
    </xf>
    <xf numFmtId="0" fontId="2" fillId="18" borderId="18" xfId="0" applyFont="1" applyFill="1" applyBorder="1" applyAlignment="1">
      <alignment horizontal="left" vertical="center" wrapText="1"/>
    </xf>
    <xf numFmtId="0" fontId="2" fillId="16" borderId="21" xfId="0" applyFont="1" applyFill="1" applyBorder="1" applyAlignment="1">
      <alignment horizontal="left" vertical="center" wrapText="1"/>
    </xf>
    <xf numFmtId="0" fontId="2" fillId="25" borderId="22" xfId="0" applyFont="1" applyFill="1" applyBorder="1" applyAlignment="1">
      <alignment horizontal="left" vertical="center" wrapText="1"/>
    </xf>
    <xf numFmtId="0" fontId="2" fillId="26" borderId="25" xfId="0" applyFont="1" applyFill="1" applyBorder="1" applyAlignment="1">
      <alignment horizontal="left" vertical="center" wrapText="1"/>
    </xf>
    <xf numFmtId="0" fontId="2" fillId="28" borderId="30" xfId="0" applyFont="1" applyFill="1" applyBorder="1" applyAlignment="1">
      <alignment horizontal="left" vertical="center" wrapText="1"/>
    </xf>
    <xf numFmtId="0" fontId="16" fillId="28" borderId="1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EE"/>
      <rgbColor rgb="FFFF00FF"/>
      <rgbColor rgb="FF00FFFF"/>
      <rgbColor rgb="FF800000"/>
      <rgbColor rgb="FF1B5E20"/>
      <rgbColor rgb="FF000080"/>
      <rgbColor rgb="FF808000"/>
      <rgbColor rgb="FF880E4F"/>
      <rgbColor rgb="FF006064"/>
      <rgbColor rgb="FFBDBDBD"/>
      <rgbColor rgb="FF808080"/>
      <rgbColor rgb="FFECEFF1"/>
      <rgbColor rgb="FFB71C1C"/>
      <rgbColor rgb="FFFFFDE7"/>
      <rgbColor rgb="FFE0F7FA"/>
      <rgbColor rgb="FF4A148C"/>
      <rgbColor rgb="FFE65100"/>
      <rgbColor rgb="FF0066CC"/>
      <rgbColor rgb="FFBBDEFB"/>
      <rgbColor rgb="FF000080"/>
      <rgbColor rgb="FFFF00FF"/>
      <rgbColor rgb="FFEEEEEE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F3E5F5"/>
      <rgbColor rgb="FFFCE4EC"/>
      <rgbColor rgb="FFFBE9E7"/>
      <rgbColor rgb="FFFFE0B2"/>
      <rgbColor rgb="FF3366FF"/>
      <rgbColor rgb="FF33CCCC"/>
      <rgbColor rgb="FFF8F8F8"/>
      <rgbColor rgb="FFF2F2F2"/>
      <rgbColor rgb="FFFF7520"/>
      <rgbColor rgb="FFE8630A"/>
      <rgbColor rgb="FF555555"/>
      <rgbColor rgb="FFF5F5F5"/>
      <rgbColor rgb="FF0D47A1"/>
      <rgbColor rgb="FF339966"/>
      <rgbColor rgb="FF003300"/>
      <rgbColor rgb="FF1A1108"/>
      <rgbColor rgb="FFB34E08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1542240</xdr:colOff>
      <xdr:row>0</xdr:row>
      <xdr:rowOff>589680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542240" cy="589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414360</xdr:colOff>
      <xdr:row>0</xdr:row>
      <xdr:rowOff>589680</xdr:rowOff>
    </xdr:to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542240" cy="589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414360</xdr:colOff>
      <xdr:row>0</xdr:row>
      <xdr:rowOff>589680</xdr:rowOff>
    </xdr:to>
    <xdr:pic>
      <xdr:nvPicPr>
        <xdr:cNvPr id="5" name="Image 1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542240" cy="589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topLeftCell="A10" zoomScaleNormal="100" workbookViewId="0">
      <selection activeCell="A24" sqref="A24:J24"/>
    </sheetView>
  </sheetViews>
  <sheetFormatPr defaultColWidth="8.6640625" defaultRowHeight="14.4" x14ac:dyDescent="0.3"/>
  <cols>
    <col min="1" max="1" width="22" customWidth="1"/>
    <col min="2" max="9" width="15" customWidth="1"/>
    <col min="10" max="10" width="42.6640625" customWidth="1"/>
  </cols>
  <sheetData>
    <row r="1" spans="1:10" ht="73.5" customHeight="1" x14ac:dyDescent="0.3"/>
    <row r="3" spans="1:10" ht="43.5" customHeight="1" x14ac:dyDescent="0.3">
      <c r="A3" s="14" t="s">
        <v>0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21.75" customHeight="1" x14ac:dyDescent="0.3">
      <c r="A4" s="13" t="s">
        <v>1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ht="4.5" customHeight="1" x14ac:dyDescent="0.3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ht="25.5" customHeight="1" x14ac:dyDescent="0.3">
      <c r="A6" s="11" t="s">
        <v>2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ht="21.75" customHeight="1" x14ac:dyDescent="0.3">
      <c r="A7" s="10" t="s">
        <v>3</v>
      </c>
      <c r="B7" s="10"/>
      <c r="C7" s="10"/>
      <c r="D7" s="9" t="s">
        <v>4</v>
      </c>
      <c r="E7" s="9"/>
      <c r="F7" s="9"/>
      <c r="G7" s="9"/>
      <c r="H7" s="8" t="s">
        <v>5</v>
      </c>
      <c r="I7" s="8"/>
      <c r="J7" s="8"/>
    </row>
    <row r="8" spans="1:10" ht="21.75" customHeight="1" x14ac:dyDescent="0.3">
      <c r="A8" s="7" t="s">
        <v>6</v>
      </c>
      <c r="B8" s="7"/>
      <c r="C8" s="7"/>
      <c r="D8" s="9" t="s">
        <v>7</v>
      </c>
      <c r="E8" s="9"/>
      <c r="F8" s="9"/>
      <c r="G8" s="9"/>
      <c r="H8" s="8" t="s">
        <v>8</v>
      </c>
      <c r="I8" s="8"/>
      <c r="J8" s="8"/>
    </row>
    <row r="9" spans="1:10" ht="21.75" customHeight="1" x14ac:dyDescent="0.3">
      <c r="A9" s="6" t="s">
        <v>9</v>
      </c>
      <c r="B9" s="6"/>
      <c r="C9" s="6"/>
      <c r="D9" s="9" t="s">
        <v>10</v>
      </c>
      <c r="E9" s="9"/>
      <c r="F9" s="9"/>
      <c r="G9" s="9"/>
      <c r="H9" s="8" t="s">
        <v>11</v>
      </c>
      <c r="I9" s="8"/>
      <c r="J9" s="8"/>
    </row>
    <row r="10" spans="1:10" ht="6.75" customHeight="1" x14ac:dyDescent="0.3"/>
    <row r="11" spans="1:10" ht="25.5" customHeight="1" x14ac:dyDescent="0.3">
      <c r="A11" s="5" t="s">
        <v>12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ht="19.5" customHeight="1" x14ac:dyDescent="0.3">
      <c r="A12" s="4" t="s">
        <v>13</v>
      </c>
      <c r="B12" s="4"/>
      <c r="C12" s="9" t="s">
        <v>14</v>
      </c>
      <c r="D12" s="9"/>
      <c r="E12" s="9"/>
      <c r="F12" s="9"/>
      <c r="G12" s="9"/>
      <c r="H12" s="9"/>
      <c r="I12" s="9"/>
      <c r="J12" s="9"/>
    </row>
    <row r="13" spans="1:10" ht="19.5" customHeight="1" x14ac:dyDescent="0.3">
      <c r="A13" s="3" t="s">
        <v>15</v>
      </c>
      <c r="B13" s="3"/>
      <c r="C13" s="2" t="s">
        <v>16</v>
      </c>
      <c r="D13" s="2"/>
      <c r="E13" s="2"/>
      <c r="F13" s="2"/>
      <c r="G13" s="2"/>
      <c r="H13" s="2"/>
      <c r="I13" s="2"/>
      <c r="J13" s="2"/>
    </row>
    <row r="14" spans="1:10" ht="19.5" customHeight="1" x14ac:dyDescent="0.3">
      <c r="A14" s="1" t="s">
        <v>17</v>
      </c>
      <c r="B14" s="1"/>
      <c r="C14" s="9" t="s">
        <v>18</v>
      </c>
      <c r="D14" s="9"/>
      <c r="E14" s="9"/>
      <c r="F14" s="9"/>
      <c r="G14" s="9"/>
      <c r="H14" s="9"/>
      <c r="I14" s="9"/>
      <c r="J14" s="9"/>
    </row>
    <row r="15" spans="1:10" ht="19.5" customHeight="1" x14ac:dyDescent="0.3">
      <c r="A15" s="3" t="s">
        <v>19</v>
      </c>
      <c r="B15" s="3"/>
      <c r="C15" s="2" t="s">
        <v>20</v>
      </c>
      <c r="D15" s="2"/>
      <c r="E15" s="2"/>
      <c r="F15" s="2"/>
      <c r="G15" s="2"/>
      <c r="H15" s="2"/>
      <c r="I15" s="2"/>
      <c r="J15" s="2"/>
    </row>
    <row r="16" spans="1:10" ht="19.5" customHeight="1" x14ac:dyDescent="0.3">
      <c r="A16" s="107" t="s">
        <v>21</v>
      </c>
      <c r="B16" s="107"/>
      <c r="C16" s="9" t="s">
        <v>22</v>
      </c>
      <c r="D16" s="9"/>
      <c r="E16" s="9"/>
      <c r="F16" s="9"/>
      <c r="G16" s="9"/>
      <c r="H16" s="9"/>
      <c r="I16" s="9"/>
      <c r="J16" s="9"/>
    </row>
    <row r="17" spans="1:10" ht="6.75" customHeight="1" x14ac:dyDescent="0.3"/>
    <row r="18" spans="1:10" ht="24" customHeight="1" x14ac:dyDescent="0.3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ht="19.5" customHeight="1" x14ac:dyDescent="0.3">
      <c r="A19" s="108" t="s">
        <v>24</v>
      </c>
      <c r="B19" s="108"/>
      <c r="C19" s="108"/>
      <c r="D19" s="108"/>
      <c r="E19" s="108"/>
      <c r="F19" s="108"/>
      <c r="G19" s="108"/>
      <c r="H19" s="108"/>
      <c r="I19" s="108"/>
      <c r="J19" s="108"/>
    </row>
    <row r="20" spans="1:10" ht="19.5" customHeight="1" x14ac:dyDescent="0.3">
      <c r="A20" s="109" t="s">
        <v>25</v>
      </c>
      <c r="B20" s="109"/>
      <c r="C20" s="109"/>
      <c r="D20" s="109"/>
      <c r="E20" s="109"/>
      <c r="F20" s="109"/>
      <c r="G20" s="109"/>
      <c r="H20" s="109"/>
      <c r="I20" s="109"/>
      <c r="J20" s="109"/>
    </row>
    <row r="21" spans="1:10" ht="19.5" customHeight="1" x14ac:dyDescent="0.3">
      <c r="A21" s="108" t="s">
        <v>26</v>
      </c>
      <c r="B21" s="108"/>
      <c r="C21" s="108"/>
      <c r="D21" s="108"/>
      <c r="E21" s="108"/>
      <c r="F21" s="108"/>
      <c r="G21" s="108"/>
      <c r="H21" s="108"/>
      <c r="I21" s="108"/>
      <c r="J21" s="108"/>
    </row>
    <row r="22" spans="1:10" ht="19.5" customHeight="1" x14ac:dyDescent="0.3">
      <c r="A22" s="109" t="s">
        <v>27</v>
      </c>
      <c r="B22" s="109"/>
      <c r="C22" s="109"/>
      <c r="D22" s="109"/>
      <c r="E22" s="109"/>
      <c r="F22" s="109"/>
      <c r="G22" s="109"/>
      <c r="H22" s="109"/>
      <c r="I22" s="109"/>
      <c r="J22" s="109"/>
    </row>
    <row r="23" spans="1:10" ht="19.5" customHeight="1" x14ac:dyDescent="0.3">
      <c r="A23" s="108" t="s">
        <v>28</v>
      </c>
      <c r="B23" s="108"/>
      <c r="C23" s="108"/>
      <c r="D23" s="108"/>
      <c r="E23" s="108"/>
      <c r="F23" s="108"/>
      <c r="G23" s="108"/>
      <c r="H23" s="108"/>
      <c r="I23" s="108"/>
      <c r="J23" s="108"/>
    </row>
    <row r="24" spans="1:10" ht="47.4" customHeight="1" x14ac:dyDescent="0.3">
      <c r="A24" s="110" t="s">
        <v>29</v>
      </c>
      <c r="B24" s="110"/>
      <c r="C24" s="110"/>
      <c r="D24" s="110"/>
      <c r="E24" s="110"/>
      <c r="F24" s="110"/>
      <c r="G24" s="110"/>
      <c r="H24" s="110"/>
      <c r="I24" s="110"/>
      <c r="J24" s="110"/>
    </row>
  </sheetData>
  <mergeCells count="31">
    <mergeCell ref="A23:J23"/>
    <mergeCell ref="A24:J24"/>
    <mergeCell ref="A18:J18"/>
    <mergeCell ref="A19:J19"/>
    <mergeCell ref="A20:J20"/>
    <mergeCell ref="A21:J21"/>
    <mergeCell ref="A22:J22"/>
    <mergeCell ref="A14:B14"/>
    <mergeCell ref="C14:J14"/>
    <mergeCell ref="A15:B15"/>
    <mergeCell ref="C15:J15"/>
    <mergeCell ref="A16:B16"/>
    <mergeCell ref="C16:J16"/>
    <mergeCell ref="A11:J11"/>
    <mergeCell ref="A12:B12"/>
    <mergeCell ref="C12:J12"/>
    <mergeCell ref="A13:B13"/>
    <mergeCell ref="C13:J13"/>
    <mergeCell ref="A8:C8"/>
    <mergeCell ref="D8:G8"/>
    <mergeCell ref="H8:J8"/>
    <mergeCell ref="A9:C9"/>
    <mergeCell ref="D9:G9"/>
    <mergeCell ref="H9:J9"/>
    <mergeCell ref="A3:J3"/>
    <mergeCell ref="A4:J4"/>
    <mergeCell ref="A5:J5"/>
    <mergeCell ref="A6:J6"/>
    <mergeCell ref="A7:C7"/>
    <mergeCell ref="D7:G7"/>
    <mergeCell ref="H7:J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8"/>
  <sheetViews>
    <sheetView showGridLines="0" topLeftCell="E1" zoomScaleNormal="100" workbookViewId="0">
      <pane ySplit="6" topLeftCell="A7" activePane="bottomLeft" state="frozen"/>
      <selection pane="bottomLeft" activeCell="X9" sqref="X9"/>
    </sheetView>
  </sheetViews>
  <sheetFormatPr defaultColWidth="8.6640625" defaultRowHeight="14.4" x14ac:dyDescent="0.3"/>
  <cols>
    <col min="1" max="1" width="11" customWidth="1"/>
    <col min="2" max="2" width="22" customWidth="1"/>
    <col min="3" max="3" width="13" customWidth="1"/>
    <col min="4" max="5" width="10" customWidth="1"/>
    <col min="6" max="6" width="13" customWidth="1"/>
    <col min="7" max="7" width="18" customWidth="1"/>
    <col min="8" max="9" width="8" customWidth="1"/>
    <col min="10" max="10" width="10" customWidth="1"/>
    <col min="11" max="11" width="13" customWidth="1"/>
    <col min="12" max="12" width="16" customWidth="1"/>
    <col min="13" max="13" width="11" customWidth="1"/>
    <col min="14" max="14" width="10" customWidth="1"/>
    <col min="15" max="15" width="8" customWidth="1"/>
    <col min="16" max="16" width="13" customWidth="1"/>
    <col min="17" max="17" width="17" customWidth="1"/>
    <col min="18" max="18" width="10" customWidth="1"/>
    <col min="19" max="19" width="11" customWidth="1"/>
    <col min="20" max="20" width="13" customWidth="1"/>
    <col min="21" max="21" width="11" customWidth="1"/>
    <col min="22" max="22" width="16" customWidth="1"/>
    <col min="23" max="24" width="11" customWidth="1"/>
  </cols>
  <sheetData>
    <row r="1" spans="1:24" ht="69.75" customHeight="1" x14ac:dyDescent="0.3"/>
    <row r="2" spans="1:24" ht="6.75" customHeight="1" x14ac:dyDescent="0.3"/>
    <row r="3" spans="1:24" ht="33.75" customHeight="1" x14ac:dyDescent="0.3">
      <c r="A3" s="5" t="s">
        <v>30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9.5" customHeight="1" x14ac:dyDescent="0.3">
      <c r="A4" s="111" t="s">
        <v>31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</row>
    <row r="5" spans="1:24" ht="31.5" customHeight="1" x14ac:dyDescent="0.3">
      <c r="A5" s="15" t="s">
        <v>32</v>
      </c>
      <c r="B5" s="15" t="s">
        <v>33</v>
      </c>
      <c r="C5" s="15" t="s">
        <v>34</v>
      </c>
      <c r="D5" s="15" t="s">
        <v>35</v>
      </c>
      <c r="E5" s="15" t="s">
        <v>36</v>
      </c>
      <c r="F5" s="15" t="s">
        <v>37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5" t="s">
        <v>43</v>
      </c>
      <c r="M5" s="15" t="s">
        <v>44</v>
      </c>
      <c r="N5" s="15" t="s">
        <v>45</v>
      </c>
      <c r="O5" s="15" t="s">
        <v>46</v>
      </c>
      <c r="P5" s="15" t="s">
        <v>47</v>
      </c>
      <c r="Q5" s="15" t="s">
        <v>48</v>
      </c>
      <c r="R5" s="15" t="s">
        <v>49</v>
      </c>
      <c r="S5" s="15" t="s">
        <v>50</v>
      </c>
      <c r="T5" s="15" t="s">
        <v>51</v>
      </c>
      <c r="U5" s="15" t="s">
        <v>52</v>
      </c>
      <c r="V5" s="15" t="s">
        <v>53</v>
      </c>
      <c r="W5" s="15" t="s">
        <v>54</v>
      </c>
      <c r="X5" s="15" t="s">
        <v>55</v>
      </c>
    </row>
    <row r="6" spans="1:24" ht="18" customHeight="1" x14ac:dyDescent="0.3">
      <c r="A6" s="16" t="s">
        <v>56</v>
      </c>
      <c r="B6" s="16" t="s">
        <v>57</v>
      </c>
      <c r="C6" s="16" t="s">
        <v>58</v>
      </c>
      <c r="D6" s="16" t="s">
        <v>59</v>
      </c>
      <c r="E6" s="16" t="s">
        <v>60</v>
      </c>
      <c r="F6" s="16" t="s">
        <v>61</v>
      </c>
      <c r="G6" s="16" t="s">
        <v>62</v>
      </c>
      <c r="H6" s="16" t="s">
        <v>63</v>
      </c>
      <c r="I6" s="16" t="s">
        <v>64</v>
      </c>
      <c r="J6" s="16" t="s">
        <v>65</v>
      </c>
      <c r="K6" s="16" t="s">
        <v>66</v>
      </c>
      <c r="L6" s="16" t="s">
        <v>67</v>
      </c>
      <c r="M6" s="16" t="s">
        <v>68</v>
      </c>
      <c r="N6" s="16" t="s">
        <v>69</v>
      </c>
      <c r="O6" s="16" t="s">
        <v>70</v>
      </c>
      <c r="P6" s="16" t="s">
        <v>71</v>
      </c>
      <c r="Q6" s="16" t="s">
        <v>72</v>
      </c>
      <c r="R6" s="16" t="s">
        <v>73</v>
      </c>
      <c r="S6" s="16" t="s">
        <v>74</v>
      </c>
      <c r="T6" s="16" t="s">
        <v>75</v>
      </c>
      <c r="U6" s="16" t="s">
        <v>76</v>
      </c>
      <c r="V6" s="16" t="s">
        <v>77</v>
      </c>
      <c r="W6" s="16" t="s">
        <v>78</v>
      </c>
      <c r="X6" s="16" t="s">
        <v>79</v>
      </c>
    </row>
    <row r="7" spans="1:24" ht="16.5" customHeight="1" x14ac:dyDescent="0.3">
      <c r="A7" s="17" t="s">
        <v>80</v>
      </c>
      <c r="B7" s="17" t="s">
        <v>81</v>
      </c>
      <c r="C7" s="17" t="s">
        <v>82</v>
      </c>
      <c r="D7" s="17" t="s">
        <v>83</v>
      </c>
      <c r="E7" s="17" t="s">
        <v>84</v>
      </c>
      <c r="F7" s="17" t="s">
        <v>85</v>
      </c>
      <c r="G7" s="17" t="s">
        <v>86</v>
      </c>
      <c r="H7" s="17" t="s">
        <v>87</v>
      </c>
      <c r="I7" s="17">
        <v>6</v>
      </c>
      <c r="J7" s="17">
        <v>250</v>
      </c>
      <c r="K7" s="18">
        <v>1500</v>
      </c>
      <c r="L7" s="18">
        <v>375000</v>
      </c>
      <c r="M7" s="17">
        <v>10</v>
      </c>
      <c r="N7" s="17">
        <v>34</v>
      </c>
      <c r="O7" s="17" t="s">
        <v>88</v>
      </c>
      <c r="P7" s="17">
        <v>2</v>
      </c>
      <c r="Q7" s="18">
        <v>137000</v>
      </c>
      <c r="R7" s="17" t="s">
        <v>89</v>
      </c>
      <c r="S7" s="17" t="b">
        <f>FALSE()</f>
        <v>0</v>
      </c>
      <c r="T7" s="17" t="b">
        <f>TRUE()</f>
        <v>1</v>
      </c>
      <c r="U7" s="17">
        <v>5</v>
      </c>
      <c r="V7" s="18">
        <v>500000</v>
      </c>
      <c r="W7" s="17" t="b">
        <f>TRUE()</f>
        <v>1</v>
      </c>
      <c r="X7" s="17" t="s">
        <v>90</v>
      </c>
    </row>
    <row r="8" spans="1:24" ht="16.5" customHeight="1" x14ac:dyDescent="0.3">
      <c r="A8" s="19" t="s">
        <v>91</v>
      </c>
      <c r="B8" s="19" t="s">
        <v>92</v>
      </c>
      <c r="C8" s="19" t="s">
        <v>93</v>
      </c>
      <c r="D8" s="19" t="s">
        <v>93</v>
      </c>
      <c r="E8" s="19" t="s">
        <v>94</v>
      </c>
      <c r="F8" s="19" t="s">
        <v>95</v>
      </c>
      <c r="G8" s="19" t="s">
        <v>96</v>
      </c>
      <c r="H8" s="19" t="s">
        <v>87</v>
      </c>
      <c r="I8" s="19">
        <v>4</v>
      </c>
      <c r="J8" s="19">
        <v>17</v>
      </c>
      <c r="K8" s="20">
        <v>1000</v>
      </c>
      <c r="L8" s="20">
        <v>17000</v>
      </c>
      <c r="M8" s="19">
        <v>10</v>
      </c>
      <c r="N8" s="19">
        <v>81</v>
      </c>
      <c r="O8" s="19" t="s">
        <v>97</v>
      </c>
      <c r="P8" s="19">
        <v>2</v>
      </c>
      <c r="Q8" s="20">
        <v>61000</v>
      </c>
      <c r="R8" s="19" t="s">
        <v>89</v>
      </c>
      <c r="S8" s="19" t="b">
        <f>FALSE()</f>
        <v>0</v>
      </c>
      <c r="T8" s="19" t="b">
        <f>FALSE()</f>
        <v>0</v>
      </c>
      <c r="U8" s="19">
        <v>1</v>
      </c>
      <c r="V8" s="20">
        <v>2000000</v>
      </c>
      <c r="W8" s="19" t="b">
        <f>FALSE()</f>
        <v>0</v>
      </c>
      <c r="X8" s="19" t="s">
        <v>98</v>
      </c>
    </row>
    <row r="9" spans="1:24" ht="16.5" customHeight="1" x14ac:dyDescent="0.3">
      <c r="A9" s="21" t="s">
        <v>98</v>
      </c>
      <c r="B9" s="21" t="s">
        <v>99</v>
      </c>
      <c r="C9" s="21" t="s">
        <v>100</v>
      </c>
      <c r="D9" s="21" t="s">
        <v>100</v>
      </c>
      <c r="E9" s="21" t="s">
        <v>101</v>
      </c>
      <c r="F9" s="21" t="s">
        <v>102</v>
      </c>
      <c r="G9" s="21" t="s">
        <v>103</v>
      </c>
      <c r="H9" s="21" t="s">
        <v>87</v>
      </c>
      <c r="I9" s="21">
        <v>4</v>
      </c>
      <c r="J9" s="21">
        <v>169</v>
      </c>
      <c r="K9" s="22">
        <v>500</v>
      </c>
      <c r="L9" s="22">
        <v>84500</v>
      </c>
      <c r="M9" s="21">
        <v>12</v>
      </c>
      <c r="N9" s="21">
        <v>78</v>
      </c>
      <c r="O9" s="21" t="s">
        <v>97</v>
      </c>
      <c r="P9" s="21">
        <v>1</v>
      </c>
      <c r="Q9" s="22">
        <v>58000</v>
      </c>
      <c r="R9" s="21" t="s">
        <v>89</v>
      </c>
      <c r="S9" s="21" t="b">
        <f>FALSE()</f>
        <v>0</v>
      </c>
      <c r="T9" s="21" t="b">
        <f>FALSE()</f>
        <v>0</v>
      </c>
      <c r="U9" s="21">
        <v>2</v>
      </c>
      <c r="V9" s="22">
        <v>1000000</v>
      </c>
      <c r="W9" s="21" t="b">
        <f>TRUE()</f>
        <v>1</v>
      </c>
      <c r="X9" s="21" t="s">
        <v>104</v>
      </c>
    </row>
    <row r="10" spans="1:24" ht="16.5" customHeight="1" x14ac:dyDescent="0.3">
      <c r="A10" s="19" t="s">
        <v>105</v>
      </c>
      <c r="B10" s="19" t="s">
        <v>106</v>
      </c>
      <c r="C10" s="19" t="s">
        <v>107</v>
      </c>
      <c r="D10" s="19" t="s">
        <v>108</v>
      </c>
      <c r="E10" s="19" t="s">
        <v>109</v>
      </c>
      <c r="F10" s="19" t="s">
        <v>110</v>
      </c>
      <c r="G10" s="19" t="s">
        <v>111</v>
      </c>
      <c r="H10" s="19" t="s">
        <v>112</v>
      </c>
      <c r="I10" s="19">
        <v>7</v>
      </c>
      <c r="J10" s="19">
        <v>44</v>
      </c>
      <c r="K10" s="20">
        <v>10000</v>
      </c>
      <c r="L10" s="20">
        <v>440000</v>
      </c>
      <c r="M10" s="19">
        <v>5</v>
      </c>
      <c r="N10" s="19">
        <v>67</v>
      </c>
      <c r="O10" s="19" t="s">
        <v>113</v>
      </c>
      <c r="P10" s="19">
        <v>17</v>
      </c>
      <c r="Q10" s="20">
        <v>136000</v>
      </c>
      <c r="R10" s="19" t="s">
        <v>114</v>
      </c>
      <c r="S10" s="19" t="b">
        <f>FALSE()</f>
        <v>0</v>
      </c>
      <c r="T10" s="19" t="b">
        <f>FALSE()</f>
        <v>0</v>
      </c>
      <c r="U10" s="19">
        <v>5</v>
      </c>
      <c r="V10" s="20">
        <v>2000000</v>
      </c>
      <c r="W10" s="19" t="b">
        <f>TRUE()</f>
        <v>1</v>
      </c>
      <c r="X10" s="19" t="s">
        <v>115</v>
      </c>
    </row>
    <row r="11" spans="1:24" ht="16.5" customHeight="1" x14ac:dyDescent="0.3">
      <c r="A11" s="23" t="s">
        <v>116</v>
      </c>
      <c r="B11" s="23" t="s">
        <v>117</v>
      </c>
      <c r="C11" s="23" t="s">
        <v>118</v>
      </c>
      <c r="D11" s="23" t="s">
        <v>119</v>
      </c>
      <c r="E11" s="23" t="s">
        <v>120</v>
      </c>
      <c r="F11" s="23" t="s">
        <v>121</v>
      </c>
      <c r="G11" s="23" t="s">
        <v>122</v>
      </c>
      <c r="H11" s="23" t="s">
        <v>87</v>
      </c>
      <c r="I11" s="23">
        <v>4</v>
      </c>
      <c r="J11" s="23">
        <v>103</v>
      </c>
      <c r="K11" s="24">
        <v>1000</v>
      </c>
      <c r="L11" s="24">
        <v>103000</v>
      </c>
      <c r="M11" s="23">
        <v>12</v>
      </c>
      <c r="N11" s="23">
        <v>36</v>
      </c>
      <c r="O11" s="23" t="s">
        <v>88</v>
      </c>
      <c r="P11" s="23">
        <v>18</v>
      </c>
      <c r="Q11" s="24">
        <v>37000</v>
      </c>
      <c r="R11" s="23" t="s">
        <v>89</v>
      </c>
      <c r="S11" s="23" t="b">
        <f>FALSE()</f>
        <v>0</v>
      </c>
      <c r="T11" s="23" t="b">
        <f>FALSE()</f>
        <v>0</v>
      </c>
      <c r="U11" s="23">
        <v>4</v>
      </c>
      <c r="V11" s="24">
        <v>1000000</v>
      </c>
      <c r="W11" s="23" t="b">
        <f>TRUE()</f>
        <v>1</v>
      </c>
      <c r="X11" s="23" t="s">
        <v>123</v>
      </c>
    </row>
    <row r="12" spans="1:24" ht="16.5" customHeight="1" x14ac:dyDescent="0.3">
      <c r="A12" s="19" t="s">
        <v>124</v>
      </c>
      <c r="B12" s="19" t="s">
        <v>125</v>
      </c>
      <c r="C12" s="19" t="s">
        <v>126</v>
      </c>
      <c r="D12" s="19" t="s">
        <v>127</v>
      </c>
      <c r="E12" s="19" t="s">
        <v>84</v>
      </c>
      <c r="F12" s="19" t="s">
        <v>128</v>
      </c>
      <c r="G12" s="19" t="s">
        <v>129</v>
      </c>
      <c r="H12" s="19" t="s">
        <v>130</v>
      </c>
      <c r="I12" s="19">
        <v>10</v>
      </c>
      <c r="J12" s="19">
        <v>244</v>
      </c>
      <c r="K12" s="20">
        <v>7500</v>
      </c>
      <c r="L12" s="20">
        <v>1830000</v>
      </c>
      <c r="M12" s="19">
        <v>8</v>
      </c>
      <c r="N12" s="19">
        <v>66</v>
      </c>
      <c r="O12" s="19" t="s">
        <v>113</v>
      </c>
      <c r="P12" s="19">
        <v>7</v>
      </c>
      <c r="Q12" s="20">
        <v>134000</v>
      </c>
      <c r="R12" s="19" t="s">
        <v>89</v>
      </c>
      <c r="S12" s="19" t="b">
        <f>TRUE()</f>
        <v>1</v>
      </c>
      <c r="T12" s="19" t="b">
        <f>FALSE()</f>
        <v>0</v>
      </c>
      <c r="U12" s="19">
        <v>5</v>
      </c>
      <c r="V12" s="20">
        <v>1000000</v>
      </c>
      <c r="W12" s="19" t="b">
        <f>TRUE()</f>
        <v>1</v>
      </c>
      <c r="X12" s="19" t="s">
        <v>90</v>
      </c>
    </row>
    <row r="13" spans="1:24" ht="16.5" customHeight="1" x14ac:dyDescent="0.3">
      <c r="A13" s="25" t="s">
        <v>131</v>
      </c>
      <c r="B13" s="25" t="s">
        <v>132</v>
      </c>
      <c r="C13" s="25" t="s">
        <v>133</v>
      </c>
      <c r="D13" s="25" t="s">
        <v>134</v>
      </c>
      <c r="E13" s="25" t="s">
        <v>94</v>
      </c>
      <c r="F13" s="25" t="s">
        <v>135</v>
      </c>
      <c r="G13" s="25" t="s">
        <v>86</v>
      </c>
      <c r="H13" s="25" t="s">
        <v>112</v>
      </c>
      <c r="I13" s="25">
        <v>8</v>
      </c>
      <c r="J13" s="25">
        <v>232</v>
      </c>
      <c r="K13" s="26">
        <v>3000</v>
      </c>
      <c r="L13" s="26">
        <v>696000</v>
      </c>
      <c r="M13" s="25">
        <v>15</v>
      </c>
      <c r="N13" s="25">
        <v>85</v>
      </c>
      <c r="O13" s="25" t="s">
        <v>97</v>
      </c>
      <c r="P13" s="25">
        <v>9</v>
      </c>
      <c r="Q13" s="26">
        <v>109000</v>
      </c>
      <c r="R13" s="25" t="s">
        <v>89</v>
      </c>
      <c r="S13" s="25" t="b">
        <f>FALSE()</f>
        <v>0</v>
      </c>
      <c r="T13" s="25" t="b">
        <f>FALSE()</f>
        <v>0</v>
      </c>
      <c r="U13" s="25">
        <v>3</v>
      </c>
      <c r="V13" s="26">
        <v>750000</v>
      </c>
      <c r="W13" s="25" t="b">
        <f>TRUE()</f>
        <v>1</v>
      </c>
      <c r="X13" s="25" t="s">
        <v>104</v>
      </c>
    </row>
    <row r="14" spans="1:24" ht="16.5" customHeight="1" x14ac:dyDescent="0.3">
      <c r="A14" s="19" t="s">
        <v>136</v>
      </c>
      <c r="B14" s="19" t="s">
        <v>137</v>
      </c>
      <c r="C14" s="19" t="s">
        <v>138</v>
      </c>
      <c r="D14" s="19" t="s">
        <v>139</v>
      </c>
      <c r="E14" s="19" t="s">
        <v>101</v>
      </c>
      <c r="F14" s="19" t="s">
        <v>140</v>
      </c>
      <c r="G14" s="19" t="s">
        <v>96</v>
      </c>
      <c r="H14" s="19" t="s">
        <v>112</v>
      </c>
      <c r="I14" s="19">
        <v>8</v>
      </c>
      <c r="J14" s="19">
        <v>115</v>
      </c>
      <c r="K14" s="20">
        <v>500</v>
      </c>
      <c r="L14" s="20">
        <v>57500</v>
      </c>
      <c r="M14" s="19">
        <v>15</v>
      </c>
      <c r="N14" s="19">
        <v>37</v>
      </c>
      <c r="O14" s="19" t="s">
        <v>88</v>
      </c>
      <c r="P14" s="19">
        <v>17</v>
      </c>
      <c r="Q14" s="20">
        <v>105000</v>
      </c>
      <c r="R14" s="19" t="s">
        <v>141</v>
      </c>
      <c r="S14" s="19" t="b">
        <f>TRUE()</f>
        <v>1</v>
      </c>
      <c r="T14" s="19" t="b">
        <f>FALSE()</f>
        <v>0</v>
      </c>
      <c r="U14" s="19">
        <v>3</v>
      </c>
      <c r="V14" s="20">
        <v>1000000</v>
      </c>
      <c r="W14" s="19" t="b">
        <f>FALSE()</f>
        <v>0</v>
      </c>
      <c r="X14" s="19" t="s">
        <v>115</v>
      </c>
    </row>
    <row r="15" spans="1:24" ht="16.5" customHeight="1" x14ac:dyDescent="0.3">
      <c r="A15" s="17" t="s">
        <v>142</v>
      </c>
      <c r="B15" s="17" t="s">
        <v>143</v>
      </c>
      <c r="C15" s="17" t="s">
        <v>82</v>
      </c>
      <c r="D15" s="17" t="s">
        <v>83</v>
      </c>
      <c r="E15" s="17" t="s">
        <v>109</v>
      </c>
      <c r="F15" s="17" t="s">
        <v>144</v>
      </c>
      <c r="G15" s="17" t="s">
        <v>103</v>
      </c>
      <c r="H15" s="17" t="s">
        <v>87</v>
      </c>
      <c r="I15" s="17">
        <v>6</v>
      </c>
      <c r="J15" s="17">
        <v>160</v>
      </c>
      <c r="K15" s="18">
        <v>7500</v>
      </c>
      <c r="L15" s="18">
        <v>1200000</v>
      </c>
      <c r="M15" s="17">
        <v>12</v>
      </c>
      <c r="N15" s="17">
        <v>86</v>
      </c>
      <c r="O15" s="17" t="s">
        <v>97</v>
      </c>
      <c r="P15" s="17">
        <v>2</v>
      </c>
      <c r="Q15" s="18">
        <v>140000</v>
      </c>
      <c r="R15" s="17" t="s">
        <v>89</v>
      </c>
      <c r="S15" s="17" t="b">
        <f>FALSE()</f>
        <v>0</v>
      </c>
      <c r="T15" s="17" t="b">
        <f>FALSE()</f>
        <v>0</v>
      </c>
      <c r="U15" s="17">
        <v>4</v>
      </c>
      <c r="V15" s="18">
        <v>500000</v>
      </c>
      <c r="W15" s="17" t="b">
        <f>TRUE()</f>
        <v>1</v>
      </c>
      <c r="X15" s="17" t="s">
        <v>98</v>
      </c>
    </row>
    <row r="16" spans="1:24" ht="16.5" customHeight="1" x14ac:dyDescent="0.3">
      <c r="A16" s="19" t="s">
        <v>145</v>
      </c>
      <c r="B16" s="19" t="s">
        <v>146</v>
      </c>
      <c r="C16" s="19" t="s">
        <v>93</v>
      </c>
      <c r="D16" s="19" t="s">
        <v>93</v>
      </c>
      <c r="E16" s="19" t="s">
        <v>120</v>
      </c>
      <c r="F16" s="19" t="s">
        <v>147</v>
      </c>
      <c r="G16" s="19" t="s">
        <v>111</v>
      </c>
      <c r="H16" s="19" t="s">
        <v>130</v>
      </c>
      <c r="I16" s="19">
        <v>12</v>
      </c>
      <c r="J16" s="19">
        <v>187</v>
      </c>
      <c r="K16" s="20">
        <v>2500</v>
      </c>
      <c r="L16" s="20">
        <v>467500</v>
      </c>
      <c r="M16" s="19">
        <v>15</v>
      </c>
      <c r="N16" s="19">
        <v>85</v>
      </c>
      <c r="O16" s="19" t="s">
        <v>97</v>
      </c>
      <c r="P16" s="19">
        <v>9</v>
      </c>
      <c r="Q16" s="20">
        <v>123000</v>
      </c>
      <c r="R16" s="19" t="s">
        <v>89</v>
      </c>
      <c r="S16" s="19" t="b">
        <f>TRUE()</f>
        <v>1</v>
      </c>
      <c r="T16" s="19" t="b">
        <f>FALSE()</f>
        <v>0</v>
      </c>
      <c r="U16" s="19">
        <v>4</v>
      </c>
      <c r="V16" s="20">
        <v>1000000</v>
      </c>
      <c r="W16" s="19" t="b">
        <f>TRUE()</f>
        <v>1</v>
      </c>
      <c r="X16" s="19" t="s">
        <v>131</v>
      </c>
    </row>
    <row r="17" spans="1:24" ht="16.5" customHeight="1" x14ac:dyDescent="0.3">
      <c r="A17" s="21" t="s">
        <v>148</v>
      </c>
      <c r="B17" s="21" t="s">
        <v>149</v>
      </c>
      <c r="C17" s="21" t="s">
        <v>100</v>
      </c>
      <c r="D17" s="21" t="s">
        <v>100</v>
      </c>
      <c r="E17" s="21" t="s">
        <v>84</v>
      </c>
      <c r="F17" s="21" t="s">
        <v>150</v>
      </c>
      <c r="G17" s="21" t="s">
        <v>122</v>
      </c>
      <c r="H17" s="21" t="s">
        <v>130</v>
      </c>
      <c r="I17" s="21">
        <v>10</v>
      </c>
      <c r="J17" s="21">
        <v>37</v>
      </c>
      <c r="K17" s="22">
        <v>7500</v>
      </c>
      <c r="L17" s="22">
        <v>277500</v>
      </c>
      <c r="M17" s="21">
        <v>5</v>
      </c>
      <c r="N17" s="21">
        <v>55</v>
      </c>
      <c r="O17" s="21" t="s">
        <v>151</v>
      </c>
      <c r="P17" s="21">
        <v>9</v>
      </c>
      <c r="Q17" s="22">
        <v>46000</v>
      </c>
      <c r="R17" s="21" t="s">
        <v>114</v>
      </c>
      <c r="S17" s="21" t="b">
        <f>FALSE()</f>
        <v>0</v>
      </c>
      <c r="T17" s="21" t="b">
        <f>FALSE()</f>
        <v>0</v>
      </c>
      <c r="U17" s="21">
        <v>4</v>
      </c>
      <c r="V17" s="22">
        <v>1500000</v>
      </c>
      <c r="W17" s="21" t="b">
        <f>TRUE()</f>
        <v>1</v>
      </c>
      <c r="X17" s="21" t="s">
        <v>98</v>
      </c>
    </row>
    <row r="18" spans="1:24" ht="16.5" customHeight="1" x14ac:dyDescent="0.3">
      <c r="A18" s="19" t="s">
        <v>152</v>
      </c>
      <c r="B18" s="19" t="s">
        <v>153</v>
      </c>
      <c r="C18" s="19" t="s">
        <v>107</v>
      </c>
      <c r="D18" s="19" t="s">
        <v>108</v>
      </c>
      <c r="E18" s="19" t="s">
        <v>94</v>
      </c>
      <c r="F18" s="19" t="s">
        <v>154</v>
      </c>
      <c r="G18" s="19" t="s">
        <v>129</v>
      </c>
      <c r="H18" s="19" t="s">
        <v>155</v>
      </c>
      <c r="I18" s="19">
        <v>3</v>
      </c>
      <c r="J18" s="19">
        <v>122</v>
      </c>
      <c r="K18" s="20">
        <v>5000</v>
      </c>
      <c r="L18" s="20">
        <v>610000</v>
      </c>
      <c r="M18" s="19">
        <v>12</v>
      </c>
      <c r="N18" s="19">
        <v>63</v>
      </c>
      <c r="O18" s="19" t="s">
        <v>113</v>
      </c>
      <c r="P18" s="19">
        <v>4</v>
      </c>
      <c r="Q18" s="20">
        <v>137000</v>
      </c>
      <c r="R18" s="19" t="s">
        <v>89</v>
      </c>
      <c r="S18" s="19" t="b">
        <f>FALSE()</f>
        <v>0</v>
      </c>
      <c r="T18" s="19" t="b">
        <f>FALSE()</f>
        <v>0</v>
      </c>
      <c r="U18" s="19">
        <v>3</v>
      </c>
      <c r="V18" s="20">
        <v>1500000</v>
      </c>
      <c r="W18" s="19" t="b">
        <f>TRUE()</f>
        <v>1</v>
      </c>
      <c r="X18" s="19" t="s">
        <v>156</v>
      </c>
    </row>
    <row r="19" spans="1:24" ht="16.5" customHeight="1" x14ac:dyDescent="0.3">
      <c r="A19" s="23" t="s">
        <v>157</v>
      </c>
      <c r="B19" s="23" t="s">
        <v>158</v>
      </c>
      <c r="C19" s="23" t="s">
        <v>118</v>
      </c>
      <c r="D19" s="23" t="s">
        <v>119</v>
      </c>
      <c r="E19" s="23" t="s">
        <v>101</v>
      </c>
      <c r="F19" s="23" t="s">
        <v>159</v>
      </c>
      <c r="G19" s="23" t="s">
        <v>86</v>
      </c>
      <c r="H19" s="23" t="s">
        <v>130</v>
      </c>
      <c r="I19" s="23">
        <v>11</v>
      </c>
      <c r="J19" s="23">
        <v>234</v>
      </c>
      <c r="K19" s="24">
        <v>5000</v>
      </c>
      <c r="L19" s="24">
        <v>1170000</v>
      </c>
      <c r="M19" s="23">
        <v>7</v>
      </c>
      <c r="N19" s="23">
        <v>47</v>
      </c>
      <c r="O19" s="23" t="s">
        <v>151</v>
      </c>
      <c r="P19" s="23">
        <v>2</v>
      </c>
      <c r="Q19" s="24">
        <v>53000</v>
      </c>
      <c r="R19" s="23" t="s">
        <v>89</v>
      </c>
      <c r="S19" s="23" t="b">
        <f>FALSE()</f>
        <v>0</v>
      </c>
      <c r="T19" s="23" t="b">
        <f>FALSE()</f>
        <v>0</v>
      </c>
      <c r="U19" s="23">
        <v>2</v>
      </c>
      <c r="V19" s="24">
        <v>500000</v>
      </c>
      <c r="W19" s="23" t="b">
        <f>TRUE()</f>
        <v>1</v>
      </c>
      <c r="X19" s="23" t="s">
        <v>123</v>
      </c>
    </row>
    <row r="20" spans="1:24" ht="16.5" customHeight="1" x14ac:dyDescent="0.3">
      <c r="A20" s="19" t="s">
        <v>156</v>
      </c>
      <c r="B20" s="19" t="s">
        <v>160</v>
      </c>
      <c r="C20" s="19" t="s">
        <v>126</v>
      </c>
      <c r="D20" s="19" t="s">
        <v>127</v>
      </c>
      <c r="E20" s="19" t="s">
        <v>109</v>
      </c>
      <c r="F20" s="19" t="s">
        <v>161</v>
      </c>
      <c r="G20" s="19" t="s">
        <v>96</v>
      </c>
      <c r="H20" s="19" t="s">
        <v>130</v>
      </c>
      <c r="I20" s="19">
        <v>10</v>
      </c>
      <c r="J20" s="19">
        <v>54</v>
      </c>
      <c r="K20" s="20">
        <v>2500</v>
      </c>
      <c r="L20" s="20">
        <v>135000</v>
      </c>
      <c r="M20" s="19">
        <v>8</v>
      </c>
      <c r="N20" s="19">
        <v>28</v>
      </c>
      <c r="O20" s="19" t="s">
        <v>88</v>
      </c>
      <c r="P20" s="19">
        <v>4</v>
      </c>
      <c r="Q20" s="20">
        <v>84000</v>
      </c>
      <c r="R20" s="19" t="s">
        <v>89</v>
      </c>
      <c r="S20" s="19" t="b">
        <f>FALSE()</f>
        <v>0</v>
      </c>
      <c r="T20" s="19" t="b">
        <f>FALSE()</f>
        <v>0</v>
      </c>
      <c r="U20" s="19">
        <v>5</v>
      </c>
      <c r="V20" s="20">
        <v>1000000</v>
      </c>
      <c r="W20" s="19" t="b">
        <f>TRUE()</f>
        <v>1</v>
      </c>
      <c r="X20" s="19" t="s">
        <v>104</v>
      </c>
    </row>
    <row r="21" spans="1:24" ht="16.5" customHeight="1" x14ac:dyDescent="0.3">
      <c r="A21" s="25" t="s">
        <v>162</v>
      </c>
      <c r="B21" s="25" t="s">
        <v>163</v>
      </c>
      <c r="C21" s="25" t="s">
        <v>133</v>
      </c>
      <c r="D21" s="25" t="s">
        <v>134</v>
      </c>
      <c r="E21" s="25" t="s">
        <v>120</v>
      </c>
      <c r="F21" s="25" t="s">
        <v>164</v>
      </c>
      <c r="G21" s="25" t="s">
        <v>103</v>
      </c>
      <c r="H21" s="25" t="s">
        <v>155</v>
      </c>
      <c r="I21" s="25">
        <v>3</v>
      </c>
      <c r="J21" s="25">
        <v>184</v>
      </c>
      <c r="K21" s="26">
        <v>10000</v>
      </c>
      <c r="L21" s="26">
        <v>1840000</v>
      </c>
      <c r="M21" s="25">
        <v>12</v>
      </c>
      <c r="N21" s="25">
        <v>34</v>
      </c>
      <c r="O21" s="25" t="s">
        <v>88</v>
      </c>
      <c r="P21" s="25">
        <v>14</v>
      </c>
      <c r="Q21" s="26">
        <v>147000</v>
      </c>
      <c r="R21" s="25" t="s">
        <v>141</v>
      </c>
      <c r="S21" s="25" t="b">
        <f>TRUE()</f>
        <v>1</v>
      </c>
      <c r="T21" s="25" t="b">
        <f>FALSE()</f>
        <v>0</v>
      </c>
      <c r="U21" s="25">
        <v>5</v>
      </c>
      <c r="V21" s="26">
        <v>1500000</v>
      </c>
      <c r="W21" s="25" t="b">
        <f>TRUE()</f>
        <v>1</v>
      </c>
      <c r="X21" s="25" t="s">
        <v>123</v>
      </c>
    </row>
    <row r="22" spans="1:24" ht="16.5" customHeight="1" x14ac:dyDescent="0.3">
      <c r="A22" s="19" t="s">
        <v>165</v>
      </c>
      <c r="B22" s="19" t="s">
        <v>166</v>
      </c>
      <c r="C22" s="19" t="s">
        <v>138</v>
      </c>
      <c r="D22" s="19" t="s">
        <v>139</v>
      </c>
      <c r="E22" s="19" t="s">
        <v>84</v>
      </c>
      <c r="F22" s="19" t="s">
        <v>85</v>
      </c>
      <c r="G22" s="19" t="s">
        <v>111</v>
      </c>
      <c r="H22" s="19" t="s">
        <v>112</v>
      </c>
      <c r="I22" s="19">
        <v>7</v>
      </c>
      <c r="J22" s="19">
        <v>108</v>
      </c>
      <c r="K22" s="20">
        <v>1000</v>
      </c>
      <c r="L22" s="20">
        <v>108000</v>
      </c>
      <c r="M22" s="19">
        <v>10</v>
      </c>
      <c r="N22" s="19">
        <v>79</v>
      </c>
      <c r="O22" s="19" t="s">
        <v>97</v>
      </c>
      <c r="P22" s="19">
        <v>1</v>
      </c>
      <c r="Q22" s="20">
        <v>54000</v>
      </c>
      <c r="R22" s="19" t="s">
        <v>89</v>
      </c>
      <c r="S22" s="19" t="b">
        <f>FALSE()</f>
        <v>0</v>
      </c>
      <c r="T22" s="19" t="b">
        <f>FALSE()</f>
        <v>0</v>
      </c>
      <c r="U22" s="19">
        <v>4</v>
      </c>
      <c r="V22" s="20">
        <v>750000</v>
      </c>
      <c r="W22" s="19" t="b">
        <f>TRUE()</f>
        <v>1</v>
      </c>
      <c r="X22" s="19" t="s">
        <v>98</v>
      </c>
    </row>
    <row r="23" spans="1:24" ht="16.5" customHeight="1" x14ac:dyDescent="0.3">
      <c r="A23" s="17" t="s">
        <v>167</v>
      </c>
      <c r="B23" s="17" t="s">
        <v>168</v>
      </c>
      <c r="C23" s="17" t="s">
        <v>82</v>
      </c>
      <c r="D23" s="17" t="s">
        <v>83</v>
      </c>
      <c r="E23" s="17" t="s">
        <v>94</v>
      </c>
      <c r="F23" s="17" t="s">
        <v>95</v>
      </c>
      <c r="G23" s="17" t="s">
        <v>122</v>
      </c>
      <c r="H23" s="17" t="s">
        <v>87</v>
      </c>
      <c r="I23" s="17">
        <v>6</v>
      </c>
      <c r="J23" s="17">
        <v>161</v>
      </c>
      <c r="K23" s="18">
        <v>500</v>
      </c>
      <c r="L23" s="18">
        <v>80500</v>
      </c>
      <c r="M23" s="17">
        <v>5</v>
      </c>
      <c r="N23" s="17">
        <v>28</v>
      </c>
      <c r="O23" s="17" t="s">
        <v>88</v>
      </c>
      <c r="P23" s="17">
        <v>18</v>
      </c>
      <c r="Q23" s="18">
        <v>49000</v>
      </c>
      <c r="R23" s="17" t="s">
        <v>89</v>
      </c>
      <c r="S23" s="17" t="b">
        <f>FALSE()</f>
        <v>0</v>
      </c>
      <c r="T23" s="17" t="b">
        <f>FALSE()</f>
        <v>0</v>
      </c>
      <c r="U23" s="17">
        <v>1</v>
      </c>
      <c r="V23" s="18">
        <v>500000</v>
      </c>
      <c r="W23" s="17" t="b">
        <f>TRUE()</f>
        <v>1</v>
      </c>
      <c r="X23" s="17" t="s">
        <v>169</v>
      </c>
    </row>
    <row r="24" spans="1:24" ht="16.5" customHeight="1" x14ac:dyDescent="0.3">
      <c r="A24" s="19" t="s">
        <v>170</v>
      </c>
      <c r="B24" s="19" t="s">
        <v>171</v>
      </c>
      <c r="C24" s="19" t="s">
        <v>93</v>
      </c>
      <c r="D24" s="19" t="s">
        <v>93</v>
      </c>
      <c r="E24" s="19" t="s">
        <v>101</v>
      </c>
      <c r="F24" s="19" t="s">
        <v>102</v>
      </c>
      <c r="G24" s="19" t="s">
        <v>129</v>
      </c>
      <c r="H24" s="19" t="s">
        <v>87</v>
      </c>
      <c r="I24" s="19">
        <v>4</v>
      </c>
      <c r="J24" s="19">
        <v>165</v>
      </c>
      <c r="K24" s="20">
        <v>5000</v>
      </c>
      <c r="L24" s="20">
        <v>825000</v>
      </c>
      <c r="M24" s="19">
        <v>7</v>
      </c>
      <c r="N24" s="19">
        <v>60</v>
      </c>
      <c r="O24" s="19" t="s">
        <v>113</v>
      </c>
      <c r="P24" s="19">
        <v>11</v>
      </c>
      <c r="Q24" s="20">
        <v>108000</v>
      </c>
      <c r="R24" s="19" t="s">
        <v>89</v>
      </c>
      <c r="S24" s="19" t="b">
        <f>TRUE()</f>
        <v>1</v>
      </c>
      <c r="T24" s="19" t="b">
        <f>TRUE()</f>
        <v>1</v>
      </c>
      <c r="U24" s="19">
        <v>4</v>
      </c>
      <c r="V24" s="20">
        <v>1500000</v>
      </c>
      <c r="W24" s="19" t="b">
        <f>TRUE()</f>
        <v>1</v>
      </c>
      <c r="X24" s="19" t="s">
        <v>123</v>
      </c>
    </row>
    <row r="25" spans="1:24" ht="16.5" customHeight="1" x14ac:dyDescent="0.3">
      <c r="A25" s="21" t="s">
        <v>172</v>
      </c>
      <c r="B25" s="21" t="s">
        <v>173</v>
      </c>
      <c r="C25" s="21" t="s">
        <v>100</v>
      </c>
      <c r="D25" s="21" t="s">
        <v>100</v>
      </c>
      <c r="E25" s="21" t="s">
        <v>109</v>
      </c>
      <c r="F25" s="21" t="s">
        <v>110</v>
      </c>
      <c r="G25" s="21" t="s">
        <v>86</v>
      </c>
      <c r="H25" s="21" t="s">
        <v>112</v>
      </c>
      <c r="I25" s="21">
        <v>8</v>
      </c>
      <c r="J25" s="21">
        <v>87</v>
      </c>
      <c r="K25" s="22">
        <v>1000</v>
      </c>
      <c r="L25" s="22">
        <v>87000</v>
      </c>
      <c r="M25" s="21">
        <v>7</v>
      </c>
      <c r="N25" s="21">
        <v>41</v>
      </c>
      <c r="O25" s="21" t="s">
        <v>88</v>
      </c>
      <c r="P25" s="21">
        <v>10</v>
      </c>
      <c r="Q25" s="22">
        <v>127000</v>
      </c>
      <c r="R25" s="21" t="s">
        <v>89</v>
      </c>
      <c r="S25" s="21" t="b">
        <f>TRUE()</f>
        <v>1</v>
      </c>
      <c r="T25" s="21" t="b">
        <f>FALSE()</f>
        <v>0</v>
      </c>
      <c r="U25" s="21">
        <v>5</v>
      </c>
      <c r="V25" s="22">
        <v>500000</v>
      </c>
      <c r="W25" s="21" t="b">
        <f>TRUE()</f>
        <v>1</v>
      </c>
      <c r="X25" s="21" t="s">
        <v>131</v>
      </c>
    </row>
    <row r="26" spans="1:24" ht="16.5" customHeight="1" x14ac:dyDescent="0.3">
      <c r="A26" s="19" t="s">
        <v>174</v>
      </c>
      <c r="B26" s="19" t="s">
        <v>175</v>
      </c>
      <c r="C26" s="19" t="s">
        <v>107</v>
      </c>
      <c r="D26" s="19" t="s">
        <v>108</v>
      </c>
      <c r="E26" s="19" t="s">
        <v>120</v>
      </c>
      <c r="F26" s="19" t="s">
        <v>121</v>
      </c>
      <c r="G26" s="19" t="s">
        <v>96</v>
      </c>
      <c r="H26" s="19" t="s">
        <v>112</v>
      </c>
      <c r="I26" s="19">
        <v>9</v>
      </c>
      <c r="J26" s="19">
        <v>100</v>
      </c>
      <c r="K26" s="20">
        <v>1500</v>
      </c>
      <c r="L26" s="20">
        <v>150000</v>
      </c>
      <c r="M26" s="19">
        <v>15</v>
      </c>
      <c r="N26" s="19">
        <v>97</v>
      </c>
      <c r="O26" s="19" t="s">
        <v>176</v>
      </c>
      <c r="P26" s="19">
        <v>0</v>
      </c>
      <c r="Q26" s="20">
        <v>129000</v>
      </c>
      <c r="R26" s="19" t="s">
        <v>89</v>
      </c>
      <c r="S26" s="19" t="b">
        <f>FALSE()</f>
        <v>0</v>
      </c>
      <c r="T26" s="19" t="b">
        <f>FALSE()</f>
        <v>0</v>
      </c>
      <c r="U26" s="19">
        <v>1</v>
      </c>
      <c r="V26" s="20">
        <v>1000000</v>
      </c>
      <c r="W26" s="19" t="b">
        <f>TRUE()</f>
        <v>1</v>
      </c>
      <c r="X26" s="19" t="s">
        <v>90</v>
      </c>
    </row>
    <row r="27" spans="1:24" ht="16.5" customHeight="1" x14ac:dyDescent="0.3">
      <c r="A27" s="23" t="s">
        <v>123</v>
      </c>
      <c r="B27" s="23" t="s">
        <v>177</v>
      </c>
      <c r="C27" s="23" t="s">
        <v>118</v>
      </c>
      <c r="D27" s="23" t="s">
        <v>119</v>
      </c>
      <c r="E27" s="23" t="s">
        <v>84</v>
      </c>
      <c r="F27" s="23" t="s">
        <v>128</v>
      </c>
      <c r="G27" s="23" t="s">
        <v>103</v>
      </c>
      <c r="H27" s="23" t="s">
        <v>87</v>
      </c>
      <c r="I27" s="23">
        <v>6</v>
      </c>
      <c r="J27" s="23">
        <v>240</v>
      </c>
      <c r="K27" s="24">
        <v>1500</v>
      </c>
      <c r="L27" s="24">
        <v>360000</v>
      </c>
      <c r="M27" s="23">
        <v>8</v>
      </c>
      <c r="N27" s="23">
        <v>56</v>
      </c>
      <c r="O27" s="23" t="s">
        <v>151</v>
      </c>
      <c r="P27" s="23">
        <v>17</v>
      </c>
      <c r="Q27" s="24">
        <v>100000</v>
      </c>
      <c r="R27" s="23" t="s">
        <v>141</v>
      </c>
      <c r="S27" s="23" t="b">
        <f>TRUE()</f>
        <v>1</v>
      </c>
      <c r="T27" s="23" t="b">
        <f>FALSE()</f>
        <v>0</v>
      </c>
      <c r="U27" s="23">
        <v>2</v>
      </c>
      <c r="V27" s="24">
        <v>2000000</v>
      </c>
      <c r="W27" s="23" t="b">
        <f>TRUE()</f>
        <v>1</v>
      </c>
      <c r="X27" s="23" t="s">
        <v>104</v>
      </c>
    </row>
    <row r="28" spans="1:24" ht="16.5" customHeight="1" x14ac:dyDescent="0.3">
      <c r="A28" s="19" t="s">
        <v>178</v>
      </c>
      <c r="B28" s="19" t="s">
        <v>179</v>
      </c>
      <c r="C28" s="19" t="s">
        <v>126</v>
      </c>
      <c r="D28" s="19" t="s">
        <v>127</v>
      </c>
      <c r="E28" s="19" t="s">
        <v>94</v>
      </c>
      <c r="F28" s="19" t="s">
        <v>135</v>
      </c>
      <c r="G28" s="19" t="s">
        <v>111</v>
      </c>
      <c r="H28" s="19" t="s">
        <v>87</v>
      </c>
      <c r="I28" s="19">
        <v>4</v>
      </c>
      <c r="J28" s="19">
        <v>214</v>
      </c>
      <c r="K28" s="20">
        <v>2000</v>
      </c>
      <c r="L28" s="20">
        <v>428000</v>
      </c>
      <c r="M28" s="19">
        <v>10</v>
      </c>
      <c r="N28" s="19">
        <v>57</v>
      </c>
      <c r="O28" s="19" t="s">
        <v>151</v>
      </c>
      <c r="P28" s="19">
        <v>6</v>
      </c>
      <c r="Q28" s="20">
        <v>97000</v>
      </c>
      <c r="R28" s="19" t="s">
        <v>89</v>
      </c>
      <c r="S28" s="19" t="b">
        <f>TRUE()</f>
        <v>1</v>
      </c>
      <c r="T28" s="19" t="b">
        <f>TRUE()</f>
        <v>1</v>
      </c>
      <c r="U28" s="19">
        <v>1</v>
      </c>
      <c r="V28" s="20">
        <v>1000000</v>
      </c>
      <c r="W28" s="19" t="b">
        <f>TRUE()</f>
        <v>1</v>
      </c>
      <c r="X28" s="19" t="s">
        <v>123</v>
      </c>
    </row>
    <row r="29" spans="1:24" ht="16.5" customHeight="1" x14ac:dyDescent="0.3">
      <c r="A29" s="25" t="s">
        <v>180</v>
      </c>
      <c r="B29" s="25" t="s">
        <v>181</v>
      </c>
      <c r="C29" s="25" t="s">
        <v>133</v>
      </c>
      <c r="D29" s="25" t="s">
        <v>134</v>
      </c>
      <c r="E29" s="25" t="s">
        <v>101</v>
      </c>
      <c r="F29" s="25" t="s">
        <v>140</v>
      </c>
      <c r="G29" s="25" t="s">
        <v>122</v>
      </c>
      <c r="H29" s="25" t="s">
        <v>87</v>
      </c>
      <c r="I29" s="25">
        <v>5</v>
      </c>
      <c r="J29" s="25">
        <v>57</v>
      </c>
      <c r="K29" s="26">
        <v>3000</v>
      </c>
      <c r="L29" s="26">
        <v>171000</v>
      </c>
      <c r="M29" s="25">
        <v>10</v>
      </c>
      <c r="N29" s="25">
        <v>72</v>
      </c>
      <c r="O29" s="25" t="s">
        <v>113</v>
      </c>
      <c r="P29" s="25">
        <v>11</v>
      </c>
      <c r="Q29" s="26">
        <v>40000</v>
      </c>
      <c r="R29" s="25" t="s">
        <v>89</v>
      </c>
      <c r="S29" s="25" t="b">
        <f>FALSE()</f>
        <v>0</v>
      </c>
      <c r="T29" s="25" t="b">
        <f>FALSE()</f>
        <v>0</v>
      </c>
      <c r="U29" s="25">
        <v>3</v>
      </c>
      <c r="V29" s="26">
        <v>750000</v>
      </c>
      <c r="W29" s="25" t="b">
        <f>TRUE()</f>
        <v>1</v>
      </c>
      <c r="X29" s="25" t="s">
        <v>123</v>
      </c>
    </row>
    <row r="30" spans="1:24" ht="16.5" customHeight="1" x14ac:dyDescent="0.3">
      <c r="A30" s="19" t="s">
        <v>182</v>
      </c>
      <c r="B30" s="19" t="s">
        <v>183</v>
      </c>
      <c r="C30" s="19" t="s">
        <v>138</v>
      </c>
      <c r="D30" s="19" t="s">
        <v>139</v>
      </c>
      <c r="E30" s="19" t="s">
        <v>109</v>
      </c>
      <c r="F30" s="19" t="s">
        <v>144</v>
      </c>
      <c r="G30" s="19" t="s">
        <v>129</v>
      </c>
      <c r="H30" s="19" t="s">
        <v>130</v>
      </c>
      <c r="I30" s="19">
        <v>10</v>
      </c>
      <c r="J30" s="19">
        <v>238</v>
      </c>
      <c r="K30" s="20">
        <v>500</v>
      </c>
      <c r="L30" s="20">
        <v>119000</v>
      </c>
      <c r="M30" s="19">
        <v>10</v>
      </c>
      <c r="N30" s="19">
        <v>72</v>
      </c>
      <c r="O30" s="19" t="s">
        <v>113</v>
      </c>
      <c r="P30" s="19">
        <v>2</v>
      </c>
      <c r="Q30" s="20">
        <v>139000</v>
      </c>
      <c r="R30" s="19" t="s">
        <v>114</v>
      </c>
      <c r="S30" s="19" t="b">
        <f>FALSE()</f>
        <v>0</v>
      </c>
      <c r="T30" s="19" t="b">
        <f>FALSE()</f>
        <v>0</v>
      </c>
      <c r="U30" s="19">
        <v>1</v>
      </c>
      <c r="V30" s="20">
        <v>1500000</v>
      </c>
      <c r="W30" s="19" t="b">
        <f>FALSE()</f>
        <v>0</v>
      </c>
      <c r="X30" s="19" t="s">
        <v>169</v>
      </c>
    </row>
    <row r="31" spans="1:24" ht="16.5" customHeight="1" x14ac:dyDescent="0.3">
      <c r="A31" s="17" t="s">
        <v>184</v>
      </c>
      <c r="B31" s="17" t="s">
        <v>185</v>
      </c>
      <c r="C31" s="17" t="s">
        <v>82</v>
      </c>
      <c r="D31" s="17" t="s">
        <v>83</v>
      </c>
      <c r="E31" s="17" t="s">
        <v>120</v>
      </c>
      <c r="F31" s="17" t="s">
        <v>147</v>
      </c>
      <c r="G31" s="17" t="s">
        <v>86</v>
      </c>
      <c r="H31" s="17" t="s">
        <v>130</v>
      </c>
      <c r="I31" s="17">
        <v>12</v>
      </c>
      <c r="J31" s="17">
        <v>200</v>
      </c>
      <c r="K31" s="18">
        <v>2000</v>
      </c>
      <c r="L31" s="18">
        <v>400000</v>
      </c>
      <c r="M31" s="17">
        <v>10</v>
      </c>
      <c r="N31" s="17">
        <v>50</v>
      </c>
      <c r="O31" s="17" t="s">
        <v>151</v>
      </c>
      <c r="P31" s="17">
        <v>13</v>
      </c>
      <c r="Q31" s="18">
        <v>133000</v>
      </c>
      <c r="R31" s="17" t="s">
        <v>114</v>
      </c>
      <c r="S31" s="17" t="b">
        <f>TRUE()</f>
        <v>1</v>
      </c>
      <c r="T31" s="17" t="b">
        <f>FALSE()</f>
        <v>0</v>
      </c>
      <c r="U31" s="17">
        <v>4</v>
      </c>
      <c r="V31" s="18">
        <v>1500000</v>
      </c>
      <c r="W31" s="17" t="b">
        <f>TRUE()</f>
        <v>1</v>
      </c>
      <c r="X31" s="17" t="s">
        <v>123</v>
      </c>
    </row>
    <row r="32" spans="1:24" ht="16.5" customHeight="1" x14ac:dyDescent="0.3">
      <c r="A32" s="19" t="s">
        <v>186</v>
      </c>
      <c r="B32" s="19" t="s">
        <v>187</v>
      </c>
      <c r="C32" s="19" t="s">
        <v>93</v>
      </c>
      <c r="D32" s="19" t="s">
        <v>93</v>
      </c>
      <c r="E32" s="19" t="s">
        <v>84</v>
      </c>
      <c r="F32" s="19" t="s">
        <v>150</v>
      </c>
      <c r="G32" s="19" t="s">
        <v>96</v>
      </c>
      <c r="H32" s="19" t="s">
        <v>130</v>
      </c>
      <c r="I32" s="19">
        <v>12</v>
      </c>
      <c r="J32" s="19">
        <v>250</v>
      </c>
      <c r="K32" s="20">
        <v>1000</v>
      </c>
      <c r="L32" s="20">
        <v>250000</v>
      </c>
      <c r="M32" s="19">
        <v>15</v>
      </c>
      <c r="N32" s="19">
        <v>48</v>
      </c>
      <c r="O32" s="19" t="s">
        <v>151</v>
      </c>
      <c r="P32" s="19">
        <v>5</v>
      </c>
      <c r="Q32" s="20">
        <v>46000</v>
      </c>
      <c r="R32" s="19" t="s">
        <v>89</v>
      </c>
      <c r="S32" s="19" t="b">
        <f>FALSE()</f>
        <v>0</v>
      </c>
      <c r="T32" s="19" t="b">
        <f>FALSE()</f>
        <v>0</v>
      </c>
      <c r="U32" s="19">
        <v>2</v>
      </c>
      <c r="V32" s="20">
        <v>2000000</v>
      </c>
      <c r="W32" s="19" t="b">
        <f>TRUE()</f>
        <v>1</v>
      </c>
      <c r="X32" s="19" t="s">
        <v>169</v>
      </c>
    </row>
    <row r="33" spans="1:24" ht="16.5" customHeight="1" x14ac:dyDescent="0.3">
      <c r="A33" s="21" t="s">
        <v>188</v>
      </c>
      <c r="B33" s="21" t="s">
        <v>189</v>
      </c>
      <c r="C33" s="21" t="s">
        <v>100</v>
      </c>
      <c r="D33" s="21" t="s">
        <v>100</v>
      </c>
      <c r="E33" s="21" t="s">
        <v>94</v>
      </c>
      <c r="F33" s="21" t="s">
        <v>154</v>
      </c>
      <c r="G33" s="21" t="s">
        <v>103</v>
      </c>
      <c r="H33" s="21" t="s">
        <v>130</v>
      </c>
      <c r="I33" s="21">
        <v>10</v>
      </c>
      <c r="J33" s="21">
        <v>129</v>
      </c>
      <c r="K33" s="22">
        <v>3000</v>
      </c>
      <c r="L33" s="22">
        <v>387000</v>
      </c>
      <c r="M33" s="21">
        <v>7</v>
      </c>
      <c r="N33" s="21">
        <v>98</v>
      </c>
      <c r="O33" s="21" t="s">
        <v>176</v>
      </c>
      <c r="P33" s="21">
        <v>17</v>
      </c>
      <c r="Q33" s="22">
        <v>47000</v>
      </c>
      <c r="R33" s="21" t="s">
        <v>89</v>
      </c>
      <c r="S33" s="21" t="b">
        <f>FALSE()</f>
        <v>0</v>
      </c>
      <c r="T33" s="21" t="b">
        <f>FALSE()</f>
        <v>0</v>
      </c>
      <c r="U33" s="21">
        <v>1</v>
      </c>
      <c r="V33" s="22">
        <v>2000000</v>
      </c>
      <c r="W33" s="21" t="b">
        <f>TRUE()</f>
        <v>1</v>
      </c>
      <c r="X33" s="21" t="s">
        <v>115</v>
      </c>
    </row>
    <row r="34" spans="1:24" ht="16.5" customHeight="1" x14ac:dyDescent="0.3">
      <c r="A34" s="19" t="s">
        <v>90</v>
      </c>
      <c r="B34" s="19" t="s">
        <v>190</v>
      </c>
      <c r="C34" s="19" t="s">
        <v>107</v>
      </c>
      <c r="D34" s="19" t="s">
        <v>108</v>
      </c>
      <c r="E34" s="19" t="s">
        <v>101</v>
      </c>
      <c r="F34" s="19" t="s">
        <v>159</v>
      </c>
      <c r="G34" s="19" t="s">
        <v>111</v>
      </c>
      <c r="H34" s="19" t="s">
        <v>155</v>
      </c>
      <c r="I34" s="19">
        <v>3</v>
      </c>
      <c r="J34" s="19">
        <v>119</v>
      </c>
      <c r="K34" s="20">
        <v>2000</v>
      </c>
      <c r="L34" s="20">
        <v>238000</v>
      </c>
      <c r="M34" s="19">
        <v>7</v>
      </c>
      <c r="N34" s="19">
        <v>31</v>
      </c>
      <c r="O34" s="19" t="s">
        <v>88</v>
      </c>
      <c r="P34" s="19">
        <v>8</v>
      </c>
      <c r="Q34" s="20">
        <v>57000</v>
      </c>
      <c r="R34" s="19" t="s">
        <v>89</v>
      </c>
      <c r="S34" s="19" t="b">
        <f>TRUE()</f>
        <v>1</v>
      </c>
      <c r="T34" s="19" t="b">
        <f>FALSE()</f>
        <v>0</v>
      </c>
      <c r="U34" s="19">
        <v>3</v>
      </c>
      <c r="V34" s="20">
        <v>1000000</v>
      </c>
      <c r="W34" s="19" t="b">
        <f>TRUE()</f>
        <v>1</v>
      </c>
      <c r="X34" s="19" t="s">
        <v>104</v>
      </c>
    </row>
    <row r="35" spans="1:24" ht="16.5" customHeight="1" x14ac:dyDescent="0.3">
      <c r="A35" s="23" t="s">
        <v>191</v>
      </c>
      <c r="B35" s="23" t="s">
        <v>192</v>
      </c>
      <c r="C35" s="23" t="s">
        <v>118</v>
      </c>
      <c r="D35" s="23" t="s">
        <v>119</v>
      </c>
      <c r="E35" s="23" t="s">
        <v>109</v>
      </c>
      <c r="F35" s="23" t="s">
        <v>161</v>
      </c>
      <c r="G35" s="23" t="s">
        <v>122</v>
      </c>
      <c r="H35" s="23" t="s">
        <v>112</v>
      </c>
      <c r="I35" s="23">
        <v>9</v>
      </c>
      <c r="J35" s="23">
        <v>115</v>
      </c>
      <c r="K35" s="24">
        <v>1500</v>
      </c>
      <c r="L35" s="24">
        <v>172500</v>
      </c>
      <c r="M35" s="23">
        <v>5</v>
      </c>
      <c r="N35" s="23">
        <v>73</v>
      </c>
      <c r="O35" s="23" t="s">
        <v>113</v>
      </c>
      <c r="P35" s="23">
        <v>14</v>
      </c>
      <c r="Q35" s="24">
        <v>116000</v>
      </c>
      <c r="R35" s="23" t="s">
        <v>89</v>
      </c>
      <c r="S35" s="23" t="b">
        <f>TRUE()</f>
        <v>1</v>
      </c>
      <c r="T35" s="23" t="b">
        <f>FALSE()</f>
        <v>0</v>
      </c>
      <c r="U35" s="23">
        <v>5</v>
      </c>
      <c r="V35" s="24">
        <v>750000</v>
      </c>
      <c r="W35" s="23" t="b">
        <f>TRUE()</f>
        <v>1</v>
      </c>
      <c r="X35" s="23" t="s">
        <v>90</v>
      </c>
    </row>
    <row r="36" spans="1:24" ht="16.5" customHeight="1" x14ac:dyDescent="0.3">
      <c r="A36" s="19" t="s">
        <v>193</v>
      </c>
      <c r="B36" s="19" t="s">
        <v>194</v>
      </c>
      <c r="C36" s="19" t="s">
        <v>126</v>
      </c>
      <c r="D36" s="19" t="s">
        <v>127</v>
      </c>
      <c r="E36" s="19" t="s">
        <v>120</v>
      </c>
      <c r="F36" s="19" t="s">
        <v>164</v>
      </c>
      <c r="G36" s="19" t="s">
        <v>129</v>
      </c>
      <c r="H36" s="19" t="s">
        <v>155</v>
      </c>
      <c r="I36" s="19">
        <v>3</v>
      </c>
      <c r="J36" s="19">
        <v>142</v>
      </c>
      <c r="K36" s="20">
        <v>10000</v>
      </c>
      <c r="L36" s="20">
        <v>1420000</v>
      </c>
      <c r="M36" s="19">
        <v>5</v>
      </c>
      <c r="N36" s="19">
        <v>84</v>
      </c>
      <c r="O36" s="19" t="s">
        <v>97</v>
      </c>
      <c r="P36" s="19">
        <v>5</v>
      </c>
      <c r="Q36" s="20">
        <v>109000</v>
      </c>
      <c r="R36" s="19" t="s">
        <v>89</v>
      </c>
      <c r="S36" s="19" t="b">
        <f>TRUE()</f>
        <v>1</v>
      </c>
      <c r="T36" s="19" t="b">
        <f>FALSE()</f>
        <v>0</v>
      </c>
      <c r="U36" s="19">
        <v>2</v>
      </c>
      <c r="V36" s="20">
        <v>1500000</v>
      </c>
      <c r="W36" s="19" t="b">
        <f>TRUE()</f>
        <v>1</v>
      </c>
      <c r="X36" s="19" t="s">
        <v>90</v>
      </c>
    </row>
    <row r="37" spans="1:24" ht="16.5" customHeight="1" x14ac:dyDescent="0.3">
      <c r="A37" s="25" t="s">
        <v>195</v>
      </c>
      <c r="B37" s="25" t="s">
        <v>196</v>
      </c>
      <c r="C37" s="25" t="s">
        <v>133</v>
      </c>
      <c r="D37" s="25" t="s">
        <v>134</v>
      </c>
      <c r="E37" s="25" t="s">
        <v>84</v>
      </c>
      <c r="F37" s="25" t="s">
        <v>85</v>
      </c>
      <c r="G37" s="25" t="s">
        <v>86</v>
      </c>
      <c r="H37" s="25" t="s">
        <v>130</v>
      </c>
      <c r="I37" s="25">
        <v>12</v>
      </c>
      <c r="J37" s="25">
        <v>38</v>
      </c>
      <c r="K37" s="26">
        <v>10000</v>
      </c>
      <c r="L37" s="26">
        <v>380000</v>
      </c>
      <c r="M37" s="25">
        <v>5</v>
      </c>
      <c r="N37" s="25">
        <v>69</v>
      </c>
      <c r="O37" s="25" t="s">
        <v>113</v>
      </c>
      <c r="P37" s="25">
        <v>16</v>
      </c>
      <c r="Q37" s="26">
        <v>99000</v>
      </c>
      <c r="R37" s="25" t="s">
        <v>89</v>
      </c>
      <c r="S37" s="25" t="b">
        <f>TRUE()</f>
        <v>1</v>
      </c>
      <c r="T37" s="25" t="b">
        <f>FALSE()</f>
        <v>0</v>
      </c>
      <c r="U37" s="25">
        <v>5</v>
      </c>
      <c r="V37" s="26">
        <v>500000</v>
      </c>
      <c r="W37" s="25" t="b">
        <f>TRUE()</f>
        <v>1</v>
      </c>
      <c r="X37" s="25" t="s">
        <v>131</v>
      </c>
    </row>
    <row r="38" spans="1:24" ht="16.5" customHeight="1" x14ac:dyDescent="0.3">
      <c r="A38" s="19" t="s">
        <v>197</v>
      </c>
      <c r="B38" s="19" t="s">
        <v>198</v>
      </c>
      <c r="C38" s="19" t="s">
        <v>138</v>
      </c>
      <c r="D38" s="19" t="s">
        <v>139</v>
      </c>
      <c r="E38" s="19" t="s">
        <v>94</v>
      </c>
      <c r="F38" s="19" t="s">
        <v>95</v>
      </c>
      <c r="G38" s="19" t="s">
        <v>96</v>
      </c>
      <c r="H38" s="19" t="s">
        <v>87</v>
      </c>
      <c r="I38" s="19">
        <v>4</v>
      </c>
      <c r="J38" s="19">
        <v>78</v>
      </c>
      <c r="K38" s="20">
        <v>500</v>
      </c>
      <c r="L38" s="20">
        <v>39000</v>
      </c>
      <c r="M38" s="19">
        <v>5</v>
      </c>
      <c r="N38" s="19">
        <v>92</v>
      </c>
      <c r="O38" s="19" t="s">
        <v>176</v>
      </c>
      <c r="P38" s="19">
        <v>14</v>
      </c>
      <c r="Q38" s="20">
        <v>103000</v>
      </c>
      <c r="R38" s="19" t="s">
        <v>89</v>
      </c>
      <c r="S38" s="19" t="b">
        <f>TRUE()</f>
        <v>1</v>
      </c>
      <c r="T38" s="19" t="b">
        <f>FALSE()</f>
        <v>0</v>
      </c>
      <c r="U38" s="19">
        <v>4</v>
      </c>
      <c r="V38" s="20">
        <v>1000000</v>
      </c>
      <c r="W38" s="19" t="b">
        <f>FALSE()</f>
        <v>0</v>
      </c>
      <c r="X38" s="19" t="s">
        <v>90</v>
      </c>
    </row>
    <row r="39" spans="1:24" ht="16.5" customHeight="1" x14ac:dyDescent="0.3">
      <c r="A39" s="17" t="s">
        <v>199</v>
      </c>
      <c r="B39" s="17" t="s">
        <v>200</v>
      </c>
      <c r="C39" s="17" t="s">
        <v>82</v>
      </c>
      <c r="D39" s="17" t="s">
        <v>83</v>
      </c>
      <c r="E39" s="17" t="s">
        <v>101</v>
      </c>
      <c r="F39" s="17" t="s">
        <v>102</v>
      </c>
      <c r="G39" s="17" t="s">
        <v>103</v>
      </c>
      <c r="H39" s="17" t="s">
        <v>112</v>
      </c>
      <c r="I39" s="17">
        <v>9</v>
      </c>
      <c r="J39" s="17">
        <v>163</v>
      </c>
      <c r="K39" s="18">
        <v>10000</v>
      </c>
      <c r="L39" s="18">
        <v>1630000</v>
      </c>
      <c r="M39" s="17">
        <v>7</v>
      </c>
      <c r="N39" s="17">
        <v>63</v>
      </c>
      <c r="O39" s="17" t="s">
        <v>113</v>
      </c>
      <c r="P39" s="17">
        <v>14</v>
      </c>
      <c r="Q39" s="18">
        <v>96000</v>
      </c>
      <c r="R39" s="17" t="s">
        <v>89</v>
      </c>
      <c r="S39" s="17" t="b">
        <f>TRUE()</f>
        <v>1</v>
      </c>
      <c r="T39" s="17" t="b">
        <f>FALSE()</f>
        <v>0</v>
      </c>
      <c r="U39" s="17">
        <v>2</v>
      </c>
      <c r="V39" s="18">
        <v>2000000</v>
      </c>
      <c r="W39" s="17" t="b">
        <f>TRUE()</f>
        <v>1</v>
      </c>
      <c r="X39" s="17" t="s">
        <v>156</v>
      </c>
    </row>
    <row r="40" spans="1:24" ht="16.5" customHeight="1" x14ac:dyDescent="0.3">
      <c r="A40" s="19" t="s">
        <v>201</v>
      </c>
      <c r="B40" s="19" t="s">
        <v>202</v>
      </c>
      <c r="C40" s="19" t="s">
        <v>93</v>
      </c>
      <c r="D40" s="19" t="s">
        <v>93</v>
      </c>
      <c r="E40" s="19" t="s">
        <v>109</v>
      </c>
      <c r="F40" s="19" t="s">
        <v>110</v>
      </c>
      <c r="G40" s="19" t="s">
        <v>111</v>
      </c>
      <c r="H40" s="19" t="s">
        <v>112</v>
      </c>
      <c r="I40" s="19">
        <v>9</v>
      </c>
      <c r="J40" s="19">
        <v>236</v>
      </c>
      <c r="K40" s="20">
        <v>2000</v>
      </c>
      <c r="L40" s="20">
        <v>472000</v>
      </c>
      <c r="M40" s="19">
        <v>10</v>
      </c>
      <c r="N40" s="19">
        <v>45</v>
      </c>
      <c r="O40" s="19" t="s">
        <v>151</v>
      </c>
      <c r="P40" s="19">
        <v>13</v>
      </c>
      <c r="Q40" s="20">
        <v>45000</v>
      </c>
      <c r="R40" s="19" t="s">
        <v>89</v>
      </c>
      <c r="S40" s="19" t="b">
        <f>TRUE()</f>
        <v>1</v>
      </c>
      <c r="T40" s="19" t="b">
        <f>TRUE()</f>
        <v>1</v>
      </c>
      <c r="U40" s="19">
        <v>2</v>
      </c>
      <c r="V40" s="20">
        <v>1500000</v>
      </c>
      <c r="W40" s="19" t="b">
        <f>TRUE()</f>
        <v>1</v>
      </c>
      <c r="X40" s="19" t="s">
        <v>98</v>
      </c>
    </row>
    <row r="41" spans="1:24" ht="16.5" customHeight="1" x14ac:dyDescent="0.3">
      <c r="A41" s="21" t="s">
        <v>115</v>
      </c>
      <c r="B41" s="21" t="s">
        <v>203</v>
      </c>
      <c r="C41" s="21" t="s">
        <v>100</v>
      </c>
      <c r="D41" s="21" t="s">
        <v>100</v>
      </c>
      <c r="E41" s="21" t="s">
        <v>120</v>
      </c>
      <c r="F41" s="21" t="s">
        <v>121</v>
      </c>
      <c r="G41" s="21" t="s">
        <v>122</v>
      </c>
      <c r="H41" s="21" t="s">
        <v>87</v>
      </c>
      <c r="I41" s="21">
        <v>4</v>
      </c>
      <c r="J41" s="21">
        <v>179</v>
      </c>
      <c r="K41" s="22">
        <v>2500</v>
      </c>
      <c r="L41" s="22">
        <v>447500</v>
      </c>
      <c r="M41" s="21">
        <v>5</v>
      </c>
      <c r="N41" s="21">
        <v>47</v>
      </c>
      <c r="O41" s="21" t="s">
        <v>151</v>
      </c>
      <c r="P41" s="21">
        <v>11</v>
      </c>
      <c r="Q41" s="22">
        <v>48000</v>
      </c>
      <c r="R41" s="21" t="s">
        <v>89</v>
      </c>
      <c r="S41" s="21" t="b">
        <f>TRUE()</f>
        <v>1</v>
      </c>
      <c r="T41" s="21" t="b">
        <f>FALSE()</f>
        <v>0</v>
      </c>
      <c r="U41" s="21">
        <v>2</v>
      </c>
      <c r="V41" s="22">
        <v>500000</v>
      </c>
      <c r="W41" s="21" t="b">
        <f>TRUE()</f>
        <v>1</v>
      </c>
      <c r="X41" s="21" t="s">
        <v>104</v>
      </c>
    </row>
    <row r="42" spans="1:24" ht="16.5" customHeight="1" x14ac:dyDescent="0.3">
      <c r="A42" s="19" t="s">
        <v>204</v>
      </c>
      <c r="B42" s="19" t="s">
        <v>205</v>
      </c>
      <c r="C42" s="19" t="s">
        <v>107</v>
      </c>
      <c r="D42" s="19" t="s">
        <v>108</v>
      </c>
      <c r="E42" s="19" t="s">
        <v>84</v>
      </c>
      <c r="F42" s="19" t="s">
        <v>128</v>
      </c>
      <c r="G42" s="19" t="s">
        <v>129</v>
      </c>
      <c r="H42" s="19" t="s">
        <v>112</v>
      </c>
      <c r="I42" s="19">
        <v>7</v>
      </c>
      <c r="J42" s="19">
        <v>234</v>
      </c>
      <c r="K42" s="20">
        <v>7500</v>
      </c>
      <c r="L42" s="20">
        <v>1755000</v>
      </c>
      <c r="M42" s="19">
        <v>7</v>
      </c>
      <c r="N42" s="19">
        <v>56</v>
      </c>
      <c r="O42" s="19" t="s">
        <v>151</v>
      </c>
      <c r="P42" s="19">
        <v>5</v>
      </c>
      <c r="Q42" s="20">
        <v>122000</v>
      </c>
      <c r="R42" s="19" t="s">
        <v>89</v>
      </c>
      <c r="S42" s="19" t="b">
        <f>TRUE()</f>
        <v>1</v>
      </c>
      <c r="T42" s="19" t="b">
        <f>FALSE()</f>
        <v>0</v>
      </c>
      <c r="U42" s="19">
        <v>4</v>
      </c>
      <c r="V42" s="20">
        <v>750000</v>
      </c>
      <c r="W42" s="19" t="b">
        <f>TRUE()</f>
        <v>1</v>
      </c>
      <c r="X42" s="19" t="s">
        <v>156</v>
      </c>
    </row>
    <row r="43" spans="1:24" ht="16.5" customHeight="1" x14ac:dyDescent="0.3">
      <c r="A43" s="23" t="s">
        <v>206</v>
      </c>
      <c r="B43" s="23" t="s">
        <v>207</v>
      </c>
      <c r="C43" s="23" t="s">
        <v>118</v>
      </c>
      <c r="D43" s="23" t="s">
        <v>119</v>
      </c>
      <c r="E43" s="23" t="s">
        <v>94</v>
      </c>
      <c r="F43" s="23" t="s">
        <v>135</v>
      </c>
      <c r="G43" s="23" t="s">
        <v>86</v>
      </c>
      <c r="H43" s="23" t="s">
        <v>87</v>
      </c>
      <c r="I43" s="23">
        <v>6</v>
      </c>
      <c r="J43" s="23">
        <v>31</v>
      </c>
      <c r="K43" s="24">
        <v>3000</v>
      </c>
      <c r="L43" s="24">
        <v>93000</v>
      </c>
      <c r="M43" s="23">
        <v>5</v>
      </c>
      <c r="N43" s="23">
        <v>71</v>
      </c>
      <c r="O43" s="23" t="s">
        <v>113</v>
      </c>
      <c r="P43" s="23">
        <v>17</v>
      </c>
      <c r="Q43" s="24">
        <v>90000</v>
      </c>
      <c r="R43" s="23" t="s">
        <v>89</v>
      </c>
      <c r="S43" s="23" t="b">
        <f>TRUE()</f>
        <v>1</v>
      </c>
      <c r="T43" s="23" t="b">
        <f>FALSE()</f>
        <v>0</v>
      </c>
      <c r="U43" s="23">
        <v>5</v>
      </c>
      <c r="V43" s="24">
        <v>2000000</v>
      </c>
      <c r="W43" s="23" t="b">
        <f>FALSE()</f>
        <v>0</v>
      </c>
      <c r="X43" s="23" t="s">
        <v>156</v>
      </c>
    </row>
    <row r="44" spans="1:24" ht="16.5" customHeight="1" x14ac:dyDescent="0.3">
      <c r="A44" s="19" t="s">
        <v>208</v>
      </c>
      <c r="B44" s="19" t="s">
        <v>209</v>
      </c>
      <c r="C44" s="19" t="s">
        <v>126</v>
      </c>
      <c r="D44" s="19" t="s">
        <v>127</v>
      </c>
      <c r="E44" s="19" t="s">
        <v>101</v>
      </c>
      <c r="F44" s="19" t="s">
        <v>140</v>
      </c>
      <c r="G44" s="19" t="s">
        <v>96</v>
      </c>
      <c r="H44" s="19" t="s">
        <v>112</v>
      </c>
      <c r="I44" s="19">
        <v>9</v>
      </c>
      <c r="J44" s="19">
        <v>24</v>
      </c>
      <c r="K44" s="20">
        <v>1000</v>
      </c>
      <c r="L44" s="20">
        <v>24000</v>
      </c>
      <c r="M44" s="19">
        <v>7</v>
      </c>
      <c r="N44" s="19">
        <v>41</v>
      </c>
      <c r="O44" s="19" t="s">
        <v>88</v>
      </c>
      <c r="P44" s="19">
        <v>2</v>
      </c>
      <c r="Q44" s="20">
        <v>64000</v>
      </c>
      <c r="R44" s="19" t="s">
        <v>89</v>
      </c>
      <c r="S44" s="19" t="b">
        <f>FALSE()</f>
        <v>0</v>
      </c>
      <c r="T44" s="19" t="b">
        <f>TRUE()</f>
        <v>1</v>
      </c>
      <c r="U44" s="19">
        <v>2</v>
      </c>
      <c r="V44" s="20">
        <v>1000000</v>
      </c>
      <c r="W44" s="19" t="b">
        <f>FALSE()</f>
        <v>0</v>
      </c>
      <c r="X44" s="19" t="s">
        <v>169</v>
      </c>
    </row>
    <row r="45" spans="1:24" ht="16.5" customHeight="1" x14ac:dyDescent="0.3">
      <c r="A45" s="25" t="s">
        <v>210</v>
      </c>
      <c r="B45" s="25" t="s">
        <v>211</v>
      </c>
      <c r="C45" s="25" t="s">
        <v>133</v>
      </c>
      <c r="D45" s="25" t="s">
        <v>134</v>
      </c>
      <c r="E45" s="25" t="s">
        <v>109</v>
      </c>
      <c r="F45" s="25" t="s">
        <v>144</v>
      </c>
      <c r="G45" s="25" t="s">
        <v>103</v>
      </c>
      <c r="H45" s="25" t="s">
        <v>155</v>
      </c>
      <c r="I45" s="25">
        <v>3</v>
      </c>
      <c r="J45" s="25">
        <v>217</v>
      </c>
      <c r="K45" s="26">
        <v>5000</v>
      </c>
      <c r="L45" s="26">
        <v>1085000</v>
      </c>
      <c r="M45" s="25">
        <v>15</v>
      </c>
      <c r="N45" s="25">
        <v>61</v>
      </c>
      <c r="O45" s="25" t="s">
        <v>113</v>
      </c>
      <c r="P45" s="25">
        <v>12</v>
      </c>
      <c r="Q45" s="26">
        <v>49000</v>
      </c>
      <c r="R45" s="25" t="s">
        <v>89</v>
      </c>
      <c r="S45" s="25" t="b">
        <f>TRUE()</f>
        <v>1</v>
      </c>
      <c r="T45" s="25" t="b">
        <f>FALSE()</f>
        <v>0</v>
      </c>
      <c r="U45" s="25">
        <v>3</v>
      </c>
      <c r="V45" s="26">
        <v>500000</v>
      </c>
      <c r="W45" s="25" t="b">
        <f>TRUE()</f>
        <v>1</v>
      </c>
      <c r="X45" s="25" t="s">
        <v>156</v>
      </c>
    </row>
    <row r="46" spans="1:24" ht="16.5" customHeight="1" x14ac:dyDescent="0.3">
      <c r="A46" s="19" t="s">
        <v>212</v>
      </c>
      <c r="B46" s="19" t="s">
        <v>213</v>
      </c>
      <c r="C46" s="19" t="s">
        <v>138</v>
      </c>
      <c r="D46" s="19" t="s">
        <v>139</v>
      </c>
      <c r="E46" s="19" t="s">
        <v>120</v>
      </c>
      <c r="F46" s="19" t="s">
        <v>147</v>
      </c>
      <c r="G46" s="19" t="s">
        <v>111</v>
      </c>
      <c r="H46" s="19" t="s">
        <v>155</v>
      </c>
      <c r="I46" s="19">
        <v>1</v>
      </c>
      <c r="J46" s="19">
        <v>212</v>
      </c>
      <c r="K46" s="20">
        <v>1500</v>
      </c>
      <c r="L46" s="20">
        <v>318000</v>
      </c>
      <c r="M46" s="19">
        <v>10</v>
      </c>
      <c r="N46" s="19">
        <v>37</v>
      </c>
      <c r="O46" s="19" t="s">
        <v>88</v>
      </c>
      <c r="P46" s="19">
        <v>8</v>
      </c>
      <c r="Q46" s="20">
        <v>32000</v>
      </c>
      <c r="R46" s="19" t="s">
        <v>114</v>
      </c>
      <c r="S46" s="19" t="b">
        <f>FALSE()</f>
        <v>0</v>
      </c>
      <c r="T46" s="19" t="b">
        <f>FALSE()</f>
        <v>0</v>
      </c>
      <c r="U46" s="19">
        <v>3</v>
      </c>
      <c r="V46" s="20">
        <v>500000</v>
      </c>
      <c r="W46" s="19" t="b">
        <f>TRUE()</f>
        <v>1</v>
      </c>
      <c r="X46" s="19" t="s">
        <v>90</v>
      </c>
    </row>
    <row r="47" spans="1:24" ht="16.5" customHeight="1" x14ac:dyDescent="0.3">
      <c r="A47" s="17" t="s">
        <v>214</v>
      </c>
      <c r="B47" s="17" t="s">
        <v>215</v>
      </c>
      <c r="C47" s="17" t="s">
        <v>82</v>
      </c>
      <c r="D47" s="17" t="s">
        <v>83</v>
      </c>
      <c r="E47" s="17" t="s">
        <v>84</v>
      </c>
      <c r="F47" s="17" t="s">
        <v>150</v>
      </c>
      <c r="G47" s="17" t="s">
        <v>122</v>
      </c>
      <c r="H47" s="17" t="s">
        <v>87</v>
      </c>
      <c r="I47" s="17">
        <v>4</v>
      </c>
      <c r="J47" s="17">
        <v>25</v>
      </c>
      <c r="K47" s="18">
        <v>2500</v>
      </c>
      <c r="L47" s="18">
        <v>62500</v>
      </c>
      <c r="M47" s="17">
        <v>5</v>
      </c>
      <c r="N47" s="17">
        <v>86</v>
      </c>
      <c r="O47" s="17" t="s">
        <v>97</v>
      </c>
      <c r="P47" s="17">
        <v>0</v>
      </c>
      <c r="Q47" s="18">
        <v>74000</v>
      </c>
      <c r="R47" s="17" t="s">
        <v>89</v>
      </c>
      <c r="S47" s="17" t="b">
        <f>FALSE()</f>
        <v>0</v>
      </c>
      <c r="T47" s="17" t="b">
        <f>FALSE()</f>
        <v>0</v>
      </c>
      <c r="U47" s="17">
        <v>3</v>
      </c>
      <c r="V47" s="18">
        <v>2000000</v>
      </c>
      <c r="W47" s="17" t="b">
        <f>FALSE()</f>
        <v>0</v>
      </c>
      <c r="X47" s="17" t="s">
        <v>131</v>
      </c>
    </row>
    <row r="48" spans="1:24" ht="16.5" customHeight="1" x14ac:dyDescent="0.3">
      <c r="A48" s="19" t="s">
        <v>169</v>
      </c>
      <c r="B48" s="19" t="s">
        <v>216</v>
      </c>
      <c r="C48" s="19" t="s">
        <v>93</v>
      </c>
      <c r="D48" s="19" t="s">
        <v>93</v>
      </c>
      <c r="E48" s="19" t="s">
        <v>94</v>
      </c>
      <c r="F48" s="19" t="s">
        <v>154</v>
      </c>
      <c r="G48" s="19" t="s">
        <v>129</v>
      </c>
      <c r="H48" s="19" t="s">
        <v>155</v>
      </c>
      <c r="I48" s="19">
        <v>1</v>
      </c>
      <c r="J48" s="19">
        <v>142</v>
      </c>
      <c r="K48" s="20">
        <v>2000</v>
      </c>
      <c r="L48" s="20">
        <v>284000</v>
      </c>
      <c r="M48" s="19">
        <v>5</v>
      </c>
      <c r="N48" s="19">
        <v>48</v>
      </c>
      <c r="O48" s="19" t="s">
        <v>151</v>
      </c>
      <c r="P48" s="19">
        <v>8</v>
      </c>
      <c r="Q48" s="20">
        <v>36000</v>
      </c>
      <c r="R48" s="19" t="s">
        <v>89</v>
      </c>
      <c r="S48" s="19" t="b">
        <f>FALSE()</f>
        <v>0</v>
      </c>
      <c r="T48" s="19" t="b">
        <f>FALSE()</f>
        <v>0</v>
      </c>
      <c r="U48" s="19">
        <v>3</v>
      </c>
      <c r="V48" s="20">
        <v>2000000</v>
      </c>
      <c r="W48" s="19" t="b">
        <f>TRUE()</f>
        <v>1</v>
      </c>
      <c r="X48" s="19" t="s">
        <v>104</v>
      </c>
    </row>
    <row r="49" spans="1:24" ht="16.5" customHeight="1" x14ac:dyDescent="0.3">
      <c r="A49" s="21" t="s">
        <v>217</v>
      </c>
      <c r="B49" s="21" t="s">
        <v>218</v>
      </c>
      <c r="C49" s="21" t="s">
        <v>100</v>
      </c>
      <c r="D49" s="21" t="s">
        <v>100</v>
      </c>
      <c r="E49" s="21" t="s">
        <v>101</v>
      </c>
      <c r="F49" s="21" t="s">
        <v>159</v>
      </c>
      <c r="G49" s="21" t="s">
        <v>86</v>
      </c>
      <c r="H49" s="21" t="s">
        <v>87</v>
      </c>
      <c r="I49" s="21">
        <v>4</v>
      </c>
      <c r="J49" s="21">
        <v>82</v>
      </c>
      <c r="K49" s="22">
        <v>7500</v>
      </c>
      <c r="L49" s="22">
        <v>615000</v>
      </c>
      <c r="M49" s="21">
        <v>12</v>
      </c>
      <c r="N49" s="21">
        <v>50</v>
      </c>
      <c r="O49" s="21" t="s">
        <v>151</v>
      </c>
      <c r="P49" s="21">
        <v>8</v>
      </c>
      <c r="Q49" s="22">
        <v>75000</v>
      </c>
      <c r="R49" s="21" t="s">
        <v>141</v>
      </c>
      <c r="S49" s="21" t="b">
        <f>FALSE()</f>
        <v>0</v>
      </c>
      <c r="T49" s="21" t="b">
        <f>FALSE()</f>
        <v>0</v>
      </c>
      <c r="U49" s="21">
        <v>3</v>
      </c>
      <c r="V49" s="22">
        <v>500000</v>
      </c>
      <c r="W49" s="21" t="b">
        <f>TRUE()</f>
        <v>1</v>
      </c>
      <c r="X49" s="21" t="s">
        <v>98</v>
      </c>
    </row>
    <row r="50" spans="1:24" ht="16.5" customHeight="1" x14ac:dyDescent="0.3">
      <c r="A50" s="19" t="s">
        <v>219</v>
      </c>
      <c r="B50" s="19" t="s">
        <v>220</v>
      </c>
      <c r="C50" s="19" t="s">
        <v>107</v>
      </c>
      <c r="D50" s="19" t="s">
        <v>108</v>
      </c>
      <c r="E50" s="19" t="s">
        <v>109</v>
      </c>
      <c r="F50" s="19" t="s">
        <v>161</v>
      </c>
      <c r="G50" s="19" t="s">
        <v>96</v>
      </c>
      <c r="H50" s="19" t="s">
        <v>155</v>
      </c>
      <c r="I50" s="19">
        <v>1</v>
      </c>
      <c r="J50" s="19">
        <v>195</v>
      </c>
      <c r="K50" s="20">
        <v>10000</v>
      </c>
      <c r="L50" s="20">
        <v>1950000</v>
      </c>
      <c r="M50" s="19">
        <v>12</v>
      </c>
      <c r="N50" s="19">
        <v>52</v>
      </c>
      <c r="O50" s="19" t="s">
        <v>151</v>
      </c>
      <c r="P50" s="19">
        <v>16</v>
      </c>
      <c r="Q50" s="20">
        <v>92000</v>
      </c>
      <c r="R50" s="19" t="s">
        <v>89</v>
      </c>
      <c r="S50" s="19" t="b">
        <f>TRUE()</f>
        <v>1</v>
      </c>
      <c r="T50" s="19" t="b">
        <f>TRUE()</f>
        <v>1</v>
      </c>
      <c r="U50" s="19">
        <v>4</v>
      </c>
      <c r="V50" s="20">
        <v>1500000</v>
      </c>
      <c r="W50" s="19" t="b">
        <f>TRUE()</f>
        <v>1</v>
      </c>
      <c r="X50" s="19" t="s">
        <v>90</v>
      </c>
    </row>
    <row r="51" spans="1:24" ht="16.5" customHeight="1" x14ac:dyDescent="0.3">
      <c r="A51" s="23" t="s">
        <v>221</v>
      </c>
      <c r="B51" s="23" t="s">
        <v>222</v>
      </c>
      <c r="C51" s="23" t="s">
        <v>118</v>
      </c>
      <c r="D51" s="23" t="s">
        <v>119</v>
      </c>
      <c r="E51" s="23" t="s">
        <v>120</v>
      </c>
      <c r="F51" s="23" t="s">
        <v>164</v>
      </c>
      <c r="G51" s="23" t="s">
        <v>103</v>
      </c>
      <c r="H51" s="23" t="s">
        <v>112</v>
      </c>
      <c r="I51" s="23">
        <v>7</v>
      </c>
      <c r="J51" s="23">
        <v>137</v>
      </c>
      <c r="K51" s="24">
        <v>2500</v>
      </c>
      <c r="L51" s="24">
        <v>342500</v>
      </c>
      <c r="M51" s="23">
        <v>15</v>
      </c>
      <c r="N51" s="23">
        <v>55</v>
      </c>
      <c r="O51" s="23" t="s">
        <v>151</v>
      </c>
      <c r="P51" s="23">
        <v>7</v>
      </c>
      <c r="Q51" s="24">
        <v>74000</v>
      </c>
      <c r="R51" s="23" t="s">
        <v>89</v>
      </c>
      <c r="S51" s="23" t="b">
        <f>TRUE()</f>
        <v>1</v>
      </c>
      <c r="T51" s="23" t="b">
        <f>FALSE()</f>
        <v>0</v>
      </c>
      <c r="U51" s="23">
        <v>2</v>
      </c>
      <c r="V51" s="24">
        <v>1500000</v>
      </c>
      <c r="W51" s="23" t="b">
        <f>TRUE()</f>
        <v>1</v>
      </c>
      <c r="X51" s="23" t="s">
        <v>156</v>
      </c>
    </row>
    <row r="52" spans="1:24" ht="16.5" customHeight="1" x14ac:dyDescent="0.3">
      <c r="A52" s="19" t="s">
        <v>223</v>
      </c>
      <c r="B52" s="19" t="s">
        <v>224</v>
      </c>
      <c r="C52" s="19" t="s">
        <v>126</v>
      </c>
      <c r="D52" s="19" t="s">
        <v>127</v>
      </c>
      <c r="E52" s="19" t="s">
        <v>84</v>
      </c>
      <c r="F52" s="19" t="s">
        <v>85</v>
      </c>
      <c r="G52" s="19" t="s">
        <v>111</v>
      </c>
      <c r="H52" s="19" t="s">
        <v>155</v>
      </c>
      <c r="I52" s="19">
        <v>1</v>
      </c>
      <c r="J52" s="19">
        <v>222</v>
      </c>
      <c r="K52" s="20">
        <v>1500</v>
      </c>
      <c r="L52" s="20">
        <v>333000</v>
      </c>
      <c r="M52" s="19">
        <v>5</v>
      </c>
      <c r="N52" s="19">
        <v>37</v>
      </c>
      <c r="O52" s="19" t="s">
        <v>88</v>
      </c>
      <c r="P52" s="19">
        <v>8</v>
      </c>
      <c r="Q52" s="20">
        <v>86000</v>
      </c>
      <c r="R52" s="19" t="s">
        <v>89</v>
      </c>
      <c r="S52" s="19" t="b">
        <f>FALSE()</f>
        <v>0</v>
      </c>
      <c r="T52" s="19" t="b">
        <f>FALSE()</f>
        <v>0</v>
      </c>
      <c r="U52" s="19">
        <v>4</v>
      </c>
      <c r="V52" s="20">
        <v>2000000</v>
      </c>
      <c r="W52" s="19" t="b">
        <f>TRUE()</f>
        <v>1</v>
      </c>
      <c r="X52" s="19" t="s">
        <v>115</v>
      </c>
    </row>
    <row r="53" spans="1:24" ht="16.5" customHeight="1" x14ac:dyDescent="0.3">
      <c r="A53" s="25" t="s">
        <v>225</v>
      </c>
      <c r="B53" s="25" t="s">
        <v>226</v>
      </c>
      <c r="C53" s="25" t="s">
        <v>133</v>
      </c>
      <c r="D53" s="25" t="s">
        <v>134</v>
      </c>
      <c r="E53" s="25" t="s">
        <v>94</v>
      </c>
      <c r="F53" s="25" t="s">
        <v>95</v>
      </c>
      <c r="G53" s="25" t="s">
        <v>122</v>
      </c>
      <c r="H53" s="25" t="s">
        <v>87</v>
      </c>
      <c r="I53" s="25">
        <v>5</v>
      </c>
      <c r="J53" s="25">
        <v>161</v>
      </c>
      <c r="K53" s="26">
        <v>2000</v>
      </c>
      <c r="L53" s="26">
        <v>322000</v>
      </c>
      <c r="M53" s="25">
        <v>15</v>
      </c>
      <c r="N53" s="25">
        <v>65</v>
      </c>
      <c r="O53" s="25" t="s">
        <v>113</v>
      </c>
      <c r="P53" s="25">
        <v>1</v>
      </c>
      <c r="Q53" s="26">
        <v>90000</v>
      </c>
      <c r="R53" s="25" t="s">
        <v>89</v>
      </c>
      <c r="S53" s="25" t="b">
        <f>FALSE()</f>
        <v>0</v>
      </c>
      <c r="T53" s="25" t="b">
        <f>FALSE()</f>
        <v>0</v>
      </c>
      <c r="U53" s="25">
        <v>4</v>
      </c>
      <c r="V53" s="26">
        <v>500000</v>
      </c>
      <c r="W53" s="25" t="b">
        <f>TRUE()</f>
        <v>1</v>
      </c>
      <c r="X53" s="25" t="s">
        <v>156</v>
      </c>
    </row>
    <row r="54" spans="1:24" ht="16.5" customHeight="1" x14ac:dyDescent="0.3">
      <c r="A54" s="19" t="s">
        <v>227</v>
      </c>
      <c r="B54" s="19" t="s">
        <v>228</v>
      </c>
      <c r="C54" s="19" t="s">
        <v>138</v>
      </c>
      <c r="D54" s="19" t="s">
        <v>139</v>
      </c>
      <c r="E54" s="19" t="s">
        <v>101</v>
      </c>
      <c r="F54" s="19" t="s">
        <v>102</v>
      </c>
      <c r="G54" s="19" t="s">
        <v>129</v>
      </c>
      <c r="H54" s="19" t="s">
        <v>87</v>
      </c>
      <c r="I54" s="19">
        <v>6</v>
      </c>
      <c r="J54" s="19">
        <v>92</v>
      </c>
      <c r="K54" s="20">
        <v>10000</v>
      </c>
      <c r="L54" s="20">
        <v>920000</v>
      </c>
      <c r="M54" s="19">
        <v>8</v>
      </c>
      <c r="N54" s="19">
        <v>59</v>
      </c>
      <c r="O54" s="19" t="s">
        <v>151</v>
      </c>
      <c r="P54" s="19">
        <v>1</v>
      </c>
      <c r="Q54" s="20">
        <v>145000</v>
      </c>
      <c r="R54" s="19" t="s">
        <v>89</v>
      </c>
      <c r="S54" s="19" t="b">
        <f>FALSE()</f>
        <v>0</v>
      </c>
      <c r="T54" s="19" t="b">
        <f>FALSE()</f>
        <v>0</v>
      </c>
      <c r="U54" s="19">
        <v>2</v>
      </c>
      <c r="V54" s="20">
        <v>500000</v>
      </c>
      <c r="W54" s="19" t="b">
        <f>TRUE()</f>
        <v>1</v>
      </c>
      <c r="X54" s="19" t="s">
        <v>156</v>
      </c>
    </row>
    <row r="55" spans="1:24" ht="16.5" customHeight="1" x14ac:dyDescent="0.3">
      <c r="A55" s="17" t="s">
        <v>229</v>
      </c>
      <c r="B55" s="17" t="s">
        <v>230</v>
      </c>
      <c r="C55" s="17" t="s">
        <v>82</v>
      </c>
      <c r="D55" s="17" t="s">
        <v>83</v>
      </c>
      <c r="E55" s="17" t="s">
        <v>109</v>
      </c>
      <c r="F55" s="17" t="s">
        <v>110</v>
      </c>
      <c r="G55" s="17" t="s">
        <v>86</v>
      </c>
      <c r="H55" s="17" t="s">
        <v>112</v>
      </c>
      <c r="I55" s="17">
        <v>7</v>
      </c>
      <c r="J55" s="17">
        <v>29</v>
      </c>
      <c r="K55" s="18">
        <v>7500</v>
      </c>
      <c r="L55" s="18">
        <v>217500</v>
      </c>
      <c r="M55" s="17">
        <v>8</v>
      </c>
      <c r="N55" s="17">
        <v>92</v>
      </c>
      <c r="O55" s="17" t="s">
        <v>176</v>
      </c>
      <c r="P55" s="17">
        <v>6</v>
      </c>
      <c r="Q55" s="18">
        <v>62000</v>
      </c>
      <c r="R55" s="17" t="s">
        <v>89</v>
      </c>
      <c r="S55" s="17" t="b">
        <f>TRUE()</f>
        <v>1</v>
      </c>
      <c r="T55" s="17" t="b">
        <f>TRUE()</f>
        <v>1</v>
      </c>
      <c r="U55" s="17">
        <v>1</v>
      </c>
      <c r="V55" s="18">
        <v>750000</v>
      </c>
      <c r="W55" s="17" t="b">
        <f>TRUE()</f>
        <v>1</v>
      </c>
      <c r="X55" s="17" t="s">
        <v>123</v>
      </c>
    </row>
    <row r="56" spans="1:24" ht="16.5" customHeight="1" x14ac:dyDescent="0.3">
      <c r="A56" s="19" t="s">
        <v>231</v>
      </c>
      <c r="B56" s="19" t="s">
        <v>232</v>
      </c>
      <c r="C56" s="19" t="s">
        <v>93</v>
      </c>
      <c r="D56" s="19" t="s">
        <v>93</v>
      </c>
      <c r="E56" s="19" t="s">
        <v>120</v>
      </c>
      <c r="F56" s="19" t="s">
        <v>121</v>
      </c>
      <c r="G56" s="19" t="s">
        <v>96</v>
      </c>
      <c r="H56" s="19" t="s">
        <v>130</v>
      </c>
      <c r="I56" s="19">
        <v>10</v>
      </c>
      <c r="J56" s="19">
        <v>18</v>
      </c>
      <c r="K56" s="20">
        <v>5000</v>
      </c>
      <c r="L56" s="20">
        <v>90000</v>
      </c>
      <c r="M56" s="19">
        <v>5</v>
      </c>
      <c r="N56" s="19">
        <v>66</v>
      </c>
      <c r="O56" s="19" t="s">
        <v>113</v>
      </c>
      <c r="P56" s="19">
        <v>9</v>
      </c>
      <c r="Q56" s="20">
        <v>112000</v>
      </c>
      <c r="R56" s="19" t="s">
        <v>89</v>
      </c>
      <c r="S56" s="19" t="b">
        <f>FALSE()</f>
        <v>0</v>
      </c>
      <c r="T56" s="19" t="b">
        <f>FALSE()</f>
        <v>0</v>
      </c>
      <c r="U56" s="19">
        <v>2</v>
      </c>
      <c r="V56" s="20">
        <v>2000000</v>
      </c>
      <c r="W56" s="19" t="b">
        <f>FALSE()</f>
        <v>0</v>
      </c>
      <c r="X56" s="19" t="s">
        <v>123</v>
      </c>
    </row>
    <row r="57" spans="1:24" ht="16.5" customHeight="1" x14ac:dyDescent="0.3">
      <c r="A57" s="21" t="s">
        <v>233</v>
      </c>
      <c r="B57" s="21" t="s">
        <v>234</v>
      </c>
      <c r="C57" s="21" t="s">
        <v>100</v>
      </c>
      <c r="D57" s="21" t="s">
        <v>100</v>
      </c>
      <c r="E57" s="21" t="s">
        <v>84</v>
      </c>
      <c r="F57" s="21" t="s">
        <v>128</v>
      </c>
      <c r="G57" s="21" t="s">
        <v>103</v>
      </c>
      <c r="H57" s="21" t="s">
        <v>87</v>
      </c>
      <c r="I57" s="21">
        <v>6</v>
      </c>
      <c r="J57" s="21">
        <v>192</v>
      </c>
      <c r="K57" s="22">
        <v>7500</v>
      </c>
      <c r="L57" s="22">
        <v>1440000</v>
      </c>
      <c r="M57" s="21">
        <v>7</v>
      </c>
      <c r="N57" s="21">
        <v>64</v>
      </c>
      <c r="O57" s="21" t="s">
        <v>113</v>
      </c>
      <c r="P57" s="21">
        <v>4</v>
      </c>
      <c r="Q57" s="22">
        <v>35000</v>
      </c>
      <c r="R57" s="21" t="s">
        <v>141</v>
      </c>
      <c r="S57" s="21" t="b">
        <f>FALSE()</f>
        <v>0</v>
      </c>
      <c r="T57" s="21" t="b">
        <f>FALSE()</f>
        <v>0</v>
      </c>
      <c r="U57" s="21">
        <v>5</v>
      </c>
      <c r="V57" s="22">
        <v>1500000</v>
      </c>
      <c r="W57" s="21" t="b">
        <f>TRUE()</f>
        <v>1</v>
      </c>
      <c r="X57" s="21" t="s">
        <v>115</v>
      </c>
    </row>
    <row r="58" spans="1:24" ht="16.5" customHeight="1" x14ac:dyDescent="0.3">
      <c r="A58" s="19" t="s">
        <v>235</v>
      </c>
      <c r="B58" s="19" t="s">
        <v>236</v>
      </c>
      <c r="C58" s="19" t="s">
        <v>107</v>
      </c>
      <c r="D58" s="19" t="s">
        <v>108</v>
      </c>
      <c r="E58" s="19" t="s">
        <v>94</v>
      </c>
      <c r="F58" s="19" t="s">
        <v>135</v>
      </c>
      <c r="G58" s="19" t="s">
        <v>111</v>
      </c>
      <c r="H58" s="19" t="s">
        <v>130</v>
      </c>
      <c r="I58" s="19">
        <v>12</v>
      </c>
      <c r="J58" s="19">
        <v>215</v>
      </c>
      <c r="K58" s="20">
        <v>10000</v>
      </c>
      <c r="L58" s="20">
        <v>2150000</v>
      </c>
      <c r="M58" s="19">
        <v>7</v>
      </c>
      <c r="N58" s="19">
        <v>95</v>
      </c>
      <c r="O58" s="19" t="s">
        <v>176</v>
      </c>
      <c r="P58" s="19">
        <v>16</v>
      </c>
      <c r="Q58" s="20">
        <v>104000</v>
      </c>
      <c r="R58" s="19" t="s">
        <v>141</v>
      </c>
      <c r="S58" s="19" t="b">
        <f>TRUE()</f>
        <v>1</v>
      </c>
      <c r="T58" s="19" t="b">
        <f>FALSE()</f>
        <v>0</v>
      </c>
      <c r="U58" s="19">
        <v>1</v>
      </c>
      <c r="V58" s="20">
        <v>2000000</v>
      </c>
      <c r="W58" s="19" t="b">
        <f>TRUE()</f>
        <v>1</v>
      </c>
      <c r="X58" s="19" t="s">
        <v>169</v>
      </c>
    </row>
    <row r="59" spans="1:24" ht="16.5" customHeight="1" x14ac:dyDescent="0.3">
      <c r="A59" s="23" t="s">
        <v>237</v>
      </c>
      <c r="B59" s="23" t="s">
        <v>238</v>
      </c>
      <c r="C59" s="23" t="s">
        <v>118</v>
      </c>
      <c r="D59" s="23" t="s">
        <v>119</v>
      </c>
      <c r="E59" s="23" t="s">
        <v>101</v>
      </c>
      <c r="F59" s="23" t="s">
        <v>140</v>
      </c>
      <c r="G59" s="23" t="s">
        <v>122</v>
      </c>
      <c r="H59" s="23" t="s">
        <v>130</v>
      </c>
      <c r="I59" s="23">
        <v>12</v>
      </c>
      <c r="J59" s="23">
        <v>182</v>
      </c>
      <c r="K59" s="24">
        <v>2000</v>
      </c>
      <c r="L59" s="24">
        <v>364000</v>
      </c>
      <c r="M59" s="23">
        <v>5</v>
      </c>
      <c r="N59" s="23">
        <v>31</v>
      </c>
      <c r="O59" s="23" t="s">
        <v>88</v>
      </c>
      <c r="P59" s="23">
        <v>1</v>
      </c>
      <c r="Q59" s="24">
        <v>47000</v>
      </c>
      <c r="R59" s="23" t="s">
        <v>114</v>
      </c>
      <c r="S59" s="23" t="b">
        <f>FALSE()</f>
        <v>0</v>
      </c>
      <c r="T59" s="23" t="b">
        <f>FALSE()</f>
        <v>0</v>
      </c>
      <c r="U59" s="23">
        <v>3</v>
      </c>
      <c r="V59" s="24">
        <v>500000</v>
      </c>
      <c r="W59" s="23" t="b">
        <f>TRUE()</f>
        <v>1</v>
      </c>
      <c r="X59" s="23" t="s">
        <v>123</v>
      </c>
    </row>
    <row r="60" spans="1:24" ht="16.5" customHeight="1" x14ac:dyDescent="0.3">
      <c r="A60" s="19" t="s">
        <v>239</v>
      </c>
      <c r="B60" s="19" t="s">
        <v>240</v>
      </c>
      <c r="C60" s="19" t="s">
        <v>126</v>
      </c>
      <c r="D60" s="19" t="s">
        <v>127</v>
      </c>
      <c r="E60" s="19" t="s">
        <v>109</v>
      </c>
      <c r="F60" s="19" t="s">
        <v>144</v>
      </c>
      <c r="G60" s="19" t="s">
        <v>129</v>
      </c>
      <c r="H60" s="19" t="s">
        <v>112</v>
      </c>
      <c r="I60" s="19">
        <v>8</v>
      </c>
      <c r="J60" s="19">
        <v>150</v>
      </c>
      <c r="K60" s="20">
        <v>500</v>
      </c>
      <c r="L60" s="20">
        <v>75000</v>
      </c>
      <c r="M60" s="19">
        <v>15</v>
      </c>
      <c r="N60" s="19">
        <v>30</v>
      </c>
      <c r="O60" s="19" t="s">
        <v>88</v>
      </c>
      <c r="P60" s="19">
        <v>17</v>
      </c>
      <c r="Q60" s="20">
        <v>119000</v>
      </c>
      <c r="R60" s="19" t="s">
        <v>89</v>
      </c>
      <c r="S60" s="19" t="b">
        <f>TRUE()</f>
        <v>1</v>
      </c>
      <c r="T60" s="19" t="b">
        <f>TRUE()</f>
        <v>1</v>
      </c>
      <c r="U60" s="19">
        <v>1</v>
      </c>
      <c r="V60" s="20">
        <v>2000000</v>
      </c>
      <c r="W60" s="19" t="b">
        <f>FALSE()</f>
        <v>0</v>
      </c>
      <c r="X60" s="19" t="s">
        <v>90</v>
      </c>
    </row>
    <row r="61" spans="1:24" ht="16.5" customHeight="1" x14ac:dyDescent="0.3">
      <c r="A61" s="25" t="s">
        <v>241</v>
      </c>
      <c r="B61" s="25" t="s">
        <v>242</v>
      </c>
      <c r="C61" s="25" t="s">
        <v>133</v>
      </c>
      <c r="D61" s="25" t="s">
        <v>134</v>
      </c>
      <c r="E61" s="25" t="s">
        <v>120</v>
      </c>
      <c r="F61" s="25" t="s">
        <v>147</v>
      </c>
      <c r="G61" s="25" t="s">
        <v>86</v>
      </c>
      <c r="H61" s="25" t="s">
        <v>155</v>
      </c>
      <c r="I61" s="25">
        <v>2</v>
      </c>
      <c r="J61" s="25">
        <v>176</v>
      </c>
      <c r="K61" s="26">
        <v>10000</v>
      </c>
      <c r="L61" s="26">
        <v>1760000</v>
      </c>
      <c r="M61" s="25">
        <v>5</v>
      </c>
      <c r="N61" s="25">
        <v>88</v>
      </c>
      <c r="O61" s="25" t="s">
        <v>97</v>
      </c>
      <c r="P61" s="25">
        <v>8</v>
      </c>
      <c r="Q61" s="26">
        <v>136000</v>
      </c>
      <c r="R61" s="25" t="s">
        <v>89</v>
      </c>
      <c r="S61" s="25" t="b">
        <f>TRUE()</f>
        <v>1</v>
      </c>
      <c r="T61" s="25" t="b">
        <f>FALSE()</f>
        <v>0</v>
      </c>
      <c r="U61" s="25">
        <v>2</v>
      </c>
      <c r="V61" s="26">
        <v>750000</v>
      </c>
      <c r="W61" s="25" t="b">
        <f>TRUE()</f>
        <v>1</v>
      </c>
      <c r="X61" s="25" t="s">
        <v>115</v>
      </c>
    </row>
    <row r="62" spans="1:24" ht="16.5" customHeight="1" x14ac:dyDescent="0.3">
      <c r="A62" s="19" t="s">
        <v>243</v>
      </c>
      <c r="B62" s="19" t="s">
        <v>244</v>
      </c>
      <c r="C62" s="19" t="s">
        <v>138</v>
      </c>
      <c r="D62" s="19" t="s">
        <v>139</v>
      </c>
      <c r="E62" s="19" t="s">
        <v>84</v>
      </c>
      <c r="F62" s="19" t="s">
        <v>150</v>
      </c>
      <c r="G62" s="19" t="s">
        <v>96</v>
      </c>
      <c r="H62" s="19" t="s">
        <v>130</v>
      </c>
      <c r="I62" s="19">
        <v>11</v>
      </c>
      <c r="J62" s="19">
        <v>125</v>
      </c>
      <c r="K62" s="20">
        <v>7500</v>
      </c>
      <c r="L62" s="20">
        <v>937500</v>
      </c>
      <c r="M62" s="19">
        <v>10</v>
      </c>
      <c r="N62" s="19">
        <v>37</v>
      </c>
      <c r="O62" s="19" t="s">
        <v>88</v>
      </c>
      <c r="P62" s="19">
        <v>15</v>
      </c>
      <c r="Q62" s="20">
        <v>149000</v>
      </c>
      <c r="R62" s="19" t="s">
        <v>114</v>
      </c>
      <c r="S62" s="19" t="b">
        <f>FALSE()</f>
        <v>0</v>
      </c>
      <c r="T62" s="19" t="b">
        <f>FALSE()</f>
        <v>0</v>
      </c>
      <c r="U62" s="19">
        <v>1</v>
      </c>
      <c r="V62" s="20">
        <v>2000000</v>
      </c>
      <c r="W62" s="19" t="b">
        <f>TRUE()</f>
        <v>1</v>
      </c>
      <c r="X62" s="19" t="s">
        <v>115</v>
      </c>
    </row>
    <row r="63" spans="1:24" ht="16.5" customHeight="1" x14ac:dyDescent="0.3">
      <c r="A63" s="17" t="s">
        <v>245</v>
      </c>
      <c r="B63" s="17" t="s">
        <v>246</v>
      </c>
      <c r="C63" s="17" t="s">
        <v>82</v>
      </c>
      <c r="D63" s="17" t="s">
        <v>83</v>
      </c>
      <c r="E63" s="17" t="s">
        <v>94</v>
      </c>
      <c r="F63" s="17" t="s">
        <v>154</v>
      </c>
      <c r="G63" s="17" t="s">
        <v>103</v>
      </c>
      <c r="H63" s="17" t="s">
        <v>130</v>
      </c>
      <c r="I63" s="17">
        <v>11</v>
      </c>
      <c r="J63" s="17">
        <v>58</v>
      </c>
      <c r="K63" s="18">
        <v>1000</v>
      </c>
      <c r="L63" s="18">
        <v>58000</v>
      </c>
      <c r="M63" s="17">
        <v>12</v>
      </c>
      <c r="N63" s="17">
        <v>46</v>
      </c>
      <c r="O63" s="17" t="s">
        <v>151</v>
      </c>
      <c r="P63" s="17">
        <v>10</v>
      </c>
      <c r="Q63" s="18">
        <v>63000</v>
      </c>
      <c r="R63" s="17" t="s">
        <v>114</v>
      </c>
      <c r="S63" s="17" t="b">
        <f>TRUE()</f>
        <v>1</v>
      </c>
      <c r="T63" s="17" t="b">
        <f>FALSE()</f>
        <v>0</v>
      </c>
      <c r="U63" s="17">
        <v>3</v>
      </c>
      <c r="V63" s="18">
        <v>2000000</v>
      </c>
      <c r="W63" s="17" t="b">
        <f>FALSE()</f>
        <v>0</v>
      </c>
      <c r="X63" s="17" t="s">
        <v>90</v>
      </c>
    </row>
    <row r="64" spans="1:24" ht="16.5" customHeight="1" x14ac:dyDescent="0.3">
      <c r="A64" s="19" t="s">
        <v>247</v>
      </c>
      <c r="B64" s="19" t="s">
        <v>248</v>
      </c>
      <c r="C64" s="19" t="s">
        <v>93</v>
      </c>
      <c r="D64" s="19" t="s">
        <v>93</v>
      </c>
      <c r="E64" s="19" t="s">
        <v>101</v>
      </c>
      <c r="F64" s="19" t="s">
        <v>159</v>
      </c>
      <c r="G64" s="19" t="s">
        <v>111</v>
      </c>
      <c r="H64" s="19" t="s">
        <v>155</v>
      </c>
      <c r="I64" s="19">
        <v>3</v>
      </c>
      <c r="J64" s="19">
        <v>11</v>
      </c>
      <c r="K64" s="20">
        <v>7500</v>
      </c>
      <c r="L64" s="20">
        <v>82500</v>
      </c>
      <c r="M64" s="19">
        <v>5</v>
      </c>
      <c r="N64" s="19">
        <v>90</v>
      </c>
      <c r="O64" s="19" t="s">
        <v>176</v>
      </c>
      <c r="P64" s="19">
        <v>8</v>
      </c>
      <c r="Q64" s="20">
        <v>118000</v>
      </c>
      <c r="R64" s="19" t="s">
        <v>89</v>
      </c>
      <c r="S64" s="19" t="b">
        <f>TRUE()</f>
        <v>1</v>
      </c>
      <c r="T64" s="19" t="b">
        <f>FALSE()</f>
        <v>0</v>
      </c>
      <c r="U64" s="19">
        <v>3</v>
      </c>
      <c r="V64" s="20">
        <v>2000000</v>
      </c>
      <c r="W64" s="19" t="b">
        <f>FALSE()</f>
        <v>0</v>
      </c>
      <c r="X64" s="19" t="s">
        <v>156</v>
      </c>
    </row>
    <row r="65" spans="1:24" ht="16.5" customHeight="1" x14ac:dyDescent="0.3">
      <c r="A65" s="21" t="s">
        <v>249</v>
      </c>
      <c r="B65" s="21" t="s">
        <v>250</v>
      </c>
      <c r="C65" s="21" t="s">
        <v>100</v>
      </c>
      <c r="D65" s="21" t="s">
        <v>100</v>
      </c>
      <c r="E65" s="21" t="s">
        <v>109</v>
      </c>
      <c r="F65" s="21" t="s">
        <v>161</v>
      </c>
      <c r="G65" s="21" t="s">
        <v>122</v>
      </c>
      <c r="H65" s="21" t="s">
        <v>112</v>
      </c>
      <c r="I65" s="21">
        <v>8</v>
      </c>
      <c r="J65" s="21">
        <v>127</v>
      </c>
      <c r="K65" s="22">
        <v>7500</v>
      </c>
      <c r="L65" s="22">
        <v>952500</v>
      </c>
      <c r="M65" s="21">
        <v>5</v>
      </c>
      <c r="N65" s="21">
        <v>98</v>
      </c>
      <c r="O65" s="21" t="s">
        <v>176</v>
      </c>
      <c r="P65" s="21">
        <v>6</v>
      </c>
      <c r="Q65" s="22">
        <v>70000</v>
      </c>
      <c r="R65" s="21" t="s">
        <v>89</v>
      </c>
      <c r="S65" s="21" t="b">
        <f>TRUE()</f>
        <v>1</v>
      </c>
      <c r="T65" s="21" t="b">
        <f>TRUE()</f>
        <v>1</v>
      </c>
      <c r="U65" s="21">
        <v>4</v>
      </c>
      <c r="V65" s="22">
        <v>500000</v>
      </c>
      <c r="W65" s="21" t="b">
        <f>TRUE()</f>
        <v>1</v>
      </c>
      <c r="X65" s="21" t="s">
        <v>169</v>
      </c>
    </row>
    <row r="66" spans="1:24" ht="16.5" customHeight="1" x14ac:dyDescent="0.3">
      <c r="A66" s="19" t="s">
        <v>251</v>
      </c>
      <c r="B66" s="19" t="s">
        <v>252</v>
      </c>
      <c r="C66" s="19" t="s">
        <v>107</v>
      </c>
      <c r="D66" s="19" t="s">
        <v>108</v>
      </c>
      <c r="E66" s="19" t="s">
        <v>120</v>
      </c>
      <c r="F66" s="19" t="s">
        <v>164</v>
      </c>
      <c r="G66" s="19" t="s">
        <v>129</v>
      </c>
      <c r="H66" s="19" t="s">
        <v>112</v>
      </c>
      <c r="I66" s="19">
        <v>9</v>
      </c>
      <c r="J66" s="19">
        <v>123</v>
      </c>
      <c r="K66" s="20">
        <v>2500</v>
      </c>
      <c r="L66" s="20">
        <v>307500</v>
      </c>
      <c r="M66" s="19">
        <v>10</v>
      </c>
      <c r="N66" s="19">
        <v>54</v>
      </c>
      <c r="O66" s="19" t="s">
        <v>151</v>
      </c>
      <c r="P66" s="19">
        <v>6</v>
      </c>
      <c r="Q66" s="20">
        <v>39000</v>
      </c>
      <c r="R66" s="19" t="s">
        <v>89</v>
      </c>
      <c r="S66" s="19" t="b">
        <f>FALSE()</f>
        <v>0</v>
      </c>
      <c r="T66" s="19" t="b">
        <f>FALSE()</f>
        <v>0</v>
      </c>
      <c r="U66" s="19">
        <v>3</v>
      </c>
      <c r="V66" s="20">
        <v>1000000</v>
      </c>
      <c r="W66" s="19" t="b">
        <f>TRUE()</f>
        <v>1</v>
      </c>
      <c r="X66" s="19" t="s">
        <v>131</v>
      </c>
    </row>
    <row r="68" spans="1:24" ht="21.75" customHeight="1" x14ac:dyDescent="0.3">
      <c r="A68" s="112" t="s">
        <v>253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</row>
  </sheetData>
  <mergeCells count="3">
    <mergeCell ref="A3:X3"/>
    <mergeCell ref="A4:X4"/>
    <mergeCell ref="A68:X6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showGridLines="0" topLeftCell="A6" zoomScaleNormal="100" workbookViewId="0">
      <selection activeCell="D21" sqref="D21"/>
    </sheetView>
  </sheetViews>
  <sheetFormatPr defaultColWidth="8.6640625" defaultRowHeight="14.4" x14ac:dyDescent="0.3"/>
  <cols>
    <col min="1" max="1" width="26" customWidth="1"/>
    <col min="2" max="9" width="22" customWidth="1"/>
  </cols>
  <sheetData>
    <row r="1" spans="1:9" ht="69.75" customHeight="1" x14ac:dyDescent="0.3"/>
    <row r="2" spans="1:9" ht="6.75" customHeight="1" x14ac:dyDescent="0.3"/>
    <row r="3" spans="1:9" ht="33.75" customHeight="1" x14ac:dyDescent="0.3">
      <c r="A3" s="113" t="s">
        <v>254</v>
      </c>
      <c r="B3" s="113"/>
      <c r="C3" s="113"/>
      <c r="D3" s="113"/>
      <c r="E3" s="113"/>
      <c r="F3" s="113"/>
      <c r="G3" s="113"/>
      <c r="H3" s="113"/>
      <c r="I3" s="113"/>
    </row>
    <row r="4" spans="1:9" ht="19.5" customHeight="1" x14ac:dyDescent="0.3">
      <c r="A4" s="114" t="s">
        <v>255</v>
      </c>
      <c r="B4" s="114"/>
      <c r="C4" s="114"/>
      <c r="D4" s="114"/>
      <c r="E4" s="114"/>
      <c r="F4" s="114"/>
      <c r="G4" s="114"/>
      <c r="H4" s="114"/>
      <c r="I4" s="114"/>
    </row>
    <row r="5" spans="1:9" ht="27.75" customHeight="1" x14ac:dyDescent="0.3">
      <c r="A5" s="27" t="s">
        <v>256</v>
      </c>
      <c r="B5" s="28" t="s">
        <v>82</v>
      </c>
      <c r="C5" s="28" t="s">
        <v>93</v>
      </c>
      <c r="D5" s="28" t="s">
        <v>100</v>
      </c>
      <c r="E5" s="28" t="s">
        <v>107</v>
      </c>
      <c r="F5" s="28" t="s">
        <v>118</v>
      </c>
      <c r="G5" s="28" t="s">
        <v>126</v>
      </c>
      <c r="H5" s="28" t="s">
        <v>138</v>
      </c>
    </row>
    <row r="6" spans="1:9" ht="18" customHeight="1" x14ac:dyDescent="0.3">
      <c r="A6" s="16" t="s">
        <v>257</v>
      </c>
      <c r="B6" s="16" t="s">
        <v>258</v>
      </c>
      <c r="C6" s="16" t="s">
        <v>259</v>
      </c>
      <c r="D6" s="16" t="s">
        <v>260</v>
      </c>
      <c r="E6" s="16" t="s">
        <v>261</v>
      </c>
      <c r="F6" s="16" t="s">
        <v>262</v>
      </c>
    </row>
    <row r="7" spans="1:9" ht="21.75" customHeight="1" x14ac:dyDescent="0.3">
      <c r="A7" s="29" t="s">
        <v>263</v>
      </c>
      <c r="B7" s="30">
        <v>2000000</v>
      </c>
      <c r="C7" s="30">
        <v>1500000</v>
      </c>
      <c r="D7" s="30">
        <v>800000</v>
      </c>
      <c r="E7" s="30">
        <v>1200000</v>
      </c>
      <c r="F7" s="30">
        <v>1000000</v>
      </c>
      <c r="G7" s="30">
        <v>900000</v>
      </c>
      <c r="H7" s="30">
        <v>700000</v>
      </c>
    </row>
    <row r="8" spans="1:9" ht="21.75" customHeight="1" x14ac:dyDescent="0.3">
      <c r="A8" s="29" t="s">
        <v>264</v>
      </c>
      <c r="B8" s="17">
        <v>82</v>
      </c>
      <c r="C8" s="17">
        <v>88</v>
      </c>
      <c r="D8" s="17">
        <v>75</v>
      </c>
      <c r="E8" s="17">
        <v>80</v>
      </c>
      <c r="F8" s="17">
        <v>78</v>
      </c>
      <c r="G8" s="17">
        <v>80</v>
      </c>
      <c r="H8" s="17">
        <v>74</v>
      </c>
    </row>
    <row r="9" spans="1:9" ht="21.75" customHeight="1" x14ac:dyDescent="0.3">
      <c r="A9" s="29" t="s">
        <v>265</v>
      </c>
      <c r="B9" s="31">
        <v>2</v>
      </c>
      <c r="C9" s="31">
        <v>2</v>
      </c>
      <c r="D9" s="31">
        <v>1</v>
      </c>
      <c r="E9" s="31">
        <v>3</v>
      </c>
      <c r="F9" s="31">
        <v>2</v>
      </c>
      <c r="G9" s="31">
        <v>2</v>
      </c>
      <c r="H9" s="31">
        <v>1</v>
      </c>
    </row>
    <row r="10" spans="1:9" ht="21.75" customHeight="1" x14ac:dyDescent="0.3">
      <c r="A10" s="29" t="s">
        <v>266</v>
      </c>
      <c r="B10" s="32">
        <v>12</v>
      </c>
      <c r="C10" s="32">
        <v>15</v>
      </c>
      <c r="D10" s="32">
        <v>8</v>
      </c>
      <c r="E10" s="32">
        <v>10</v>
      </c>
      <c r="F10" s="32">
        <v>9</v>
      </c>
      <c r="G10" s="32">
        <v>11</v>
      </c>
      <c r="H10" s="32">
        <v>7</v>
      </c>
    </row>
    <row r="11" spans="1:9" ht="21.75" customHeight="1" x14ac:dyDescent="0.3">
      <c r="A11" s="29" t="s">
        <v>267</v>
      </c>
      <c r="B11" s="21">
        <v>8000</v>
      </c>
      <c r="C11" s="21">
        <v>10000</v>
      </c>
      <c r="D11" s="21">
        <v>6000</v>
      </c>
      <c r="E11" s="21">
        <v>8000</v>
      </c>
      <c r="F11" s="21">
        <v>7000</v>
      </c>
      <c r="G11" s="21">
        <v>9000</v>
      </c>
      <c r="H11" s="21">
        <v>5000</v>
      </c>
    </row>
    <row r="13" spans="1:9" ht="21.75" customHeight="1" x14ac:dyDescent="0.3">
      <c r="A13" s="114" t="s">
        <v>268</v>
      </c>
      <c r="B13" s="114"/>
      <c r="C13" s="114"/>
      <c r="D13" s="114"/>
      <c r="E13" s="114"/>
      <c r="F13" s="114"/>
      <c r="G13" s="114"/>
      <c r="H13" s="114"/>
      <c r="I13" s="114"/>
    </row>
    <row r="15" spans="1:9" ht="6.75" customHeight="1" x14ac:dyDescent="0.3"/>
    <row r="16" spans="1:9" ht="24" customHeight="1" x14ac:dyDescent="0.3">
      <c r="A16" s="115" t="s">
        <v>269</v>
      </c>
      <c r="B16" s="115"/>
      <c r="C16" s="115"/>
      <c r="D16" s="115"/>
      <c r="E16" s="115"/>
      <c r="F16" s="115"/>
      <c r="G16" s="115"/>
      <c r="H16" s="115"/>
      <c r="I16" s="115"/>
    </row>
    <row r="17" spans="1:9" ht="18" customHeight="1" x14ac:dyDescent="0.3">
      <c r="A17" s="116" t="s">
        <v>270</v>
      </c>
      <c r="B17" s="116"/>
      <c r="C17" s="116"/>
      <c r="D17" s="116"/>
      <c r="E17" s="116"/>
      <c r="F17" s="116"/>
      <c r="G17" s="116"/>
      <c r="H17" s="116"/>
      <c r="I17" s="116"/>
    </row>
    <row r="18" spans="1:9" ht="27.75" customHeight="1" x14ac:dyDescent="0.3">
      <c r="A18" s="33" t="s">
        <v>46</v>
      </c>
      <c r="B18" s="33" t="s">
        <v>271</v>
      </c>
      <c r="C18" s="33" t="s">
        <v>272</v>
      </c>
      <c r="D18" s="33" t="s">
        <v>273</v>
      </c>
    </row>
    <row r="19" spans="1:9" ht="19.5" customHeight="1" x14ac:dyDescent="0.3">
      <c r="A19" s="34" t="s">
        <v>176</v>
      </c>
      <c r="B19" s="35" t="s">
        <v>274</v>
      </c>
      <c r="C19" s="35" t="s">
        <v>275</v>
      </c>
      <c r="D19" s="35" t="s">
        <v>276</v>
      </c>
    </row>
    <row r="20" spans="1:9" ht="19.5" customHeight="1" x14ac:dyDescent="0.3">
      <c r="A20" s="36" t="s">
        <v>97</v>
      </c>
      <c r="B20" s="37" t="s">
        <v>277</v>
      </c>
      <c r="C20" s="37" t="s">
        <v>278</v>
      </c>
      <c r="D20" s="37" t="s">
        <v>276</v>
      </c>
    </row>
    <row r="21" spans="1:9" ht="19.5" customHeight="1" x14ac:dyDescent="0.3">
      <c r="A21" s="34" t="s">
        <v>113</v>
      </c>
      <c r="B21" s="35" t="s">
        <v>279</v>
      </c>
      <c r="C21" s="35" t="s">
        <v>280</v>
      </c>
      <c r="D21" s="35" t="s">
        <v>281</v>
      </c>
    </row>
    <row r="22" spans="1:9" ht="19.5" customHeight="1" x14ac:dyDescent="0.3">
      <c r="A22" s="36" t="s">
        <v>151</v>
      </c>
      <c r="B22" s="37" t="s">
        <v>282</v>
      </c>
      <c r="C22" s="37" t="s">
        <v>283</v>
      </c>
      <c r="D22" s="37" t="s">
        <v>284</v>
      </c>
    </row>
    <row r="23" spans="1:9" ht="19.5" customHeight="1" x14ac:dyDescent="0.3">
      <c r="A23" s="34" t="s">
        <v>88</v>
      </c>
      <c r="B23" s="35" t="s">
        <v>285</v>
      </c>
      <c r="C23" s="35" t="s">
        <v>286</v>
      </c>
      <c r="D23" s="35" t="s">
        <v>284</v>
      </c>
    </row>
  </sheetData>
  <mergeCells count="5">
    <mergeCell ref="A3:I3"/>
    <mergeCell ref="A4:I4"/>
    <mergeCell ref="A13:I13"/>
    <mergeCell ref="A16:I16"/>
    <mergeCell ref="A17:I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showGridLines="0" topLeftCell="B17" zoomScaleNormal="100" workbookViewId="0">
      <selection activeCell="F24" sqref="F24"/>
    </sheetView>
  </sheetViews>
  <sheetFormatPr defaultColWidth="8.6640625" defaultRowHeight="14.4" x14ac:dyDescent="0.3"/>
  <cols>
    <col min="1" max="1" width="4" customWidth="1"/>
    <col min="2" max="2" width="12" customWidth="1"/>
    <col min="3" max="3" width="50" customWidth="1"/>
    <col min="4" max="5" width="14" customWidth="1"/>
    <col min="6" max="6" width="45.77734375" customWidth="1"/>
    <col min="7" max="7" width="18" customWidth="1"/>
    <col min="8" max="8" width="103" customWidth="1"/>
    <col min="9" max="9" width="5" customWidth="1"/>
  </cols>
  <sheetData>
    <row r="1" spans="1:9" ht="69.75" customHeight="1" x14ac:dyDescent="0.3"/>
    <row r="2" spans="1:9" ht="6.75" customHeight="1" x14ac:dyDescent="0.3"/>
    <row r="3" spans="1:9" ht="36" customHeight="1" x14ac:dyDescent="0.3">
      <c r="A3" s="117" t="s">
        <v>287</v>
      </c>
      <c r="B3" s="117"/>
      <c r="C3" s="117"/>
      <c r="D3" s="117"/>
      <c r="E3" s="117"/>
      <c r="F3" s="117"/>
      <c r="G3" s="117"/>
      <c r="H3" s="117"/>
      <c r="I3" s="117"/>
    </row>
    <row r="4" spans="1:9" ht="19.5" customHeight="1" x14ac:dyDescent="0.3">
      <c r="A4" s="116" t="s">
        <v>288</v>
      </c>
      <c r="B4" s="116"/>
      <c r="C4" s="116"/>
      <c r="D4" s="116"/>
      <c r="E4" s="116"/>
      <c r="F4" s="116"/>
      <c r="G4" s="116"/>
      <c r="H4" s="116"/>
      <c r="I4" s="116"/>
    </row>
    <row r="5" spans="1:9" ht="18" customHeight="1" x14ac:dyDescent="0.3">
      <c r="A5" s="118" t="s">
        <v>289</v>
      </c>
      <c r="B5" s="118"/>
      <c r="C5" s="118"/>
      <c r="D5" s="118"/>
      <c r="E5" s="118"/>
      <c r="F5" s="118"/>
      <c r="G5" s="118"/>
      <c r="H5" s="118"/>
      <c r="I5" s="118"/>
    </row>
    <row r="6" spans="1:9" ht="6.75" customHeight="1" x14ac:dyDescent="0.3"/>
    <row r="7" spans="1:9" ht="39.75" customHeight="1" x14ac:dyDescent="0.3">
      <c r="A7" s="33" t="s">
        <v>290</v>
      </c>
      <c r="B7" s="33" t="s">
        <v>291</v>
      </c>
      <c r="C7" s="33" t="s">
        <v>292</v>
      </c>
      <c r="D7" s="33" t="s">
        <v>293</v>
      </c>
      <c r="E7" s="33" t="s">
        <v>294</v>
      </c>
      <c r="F7" s="33" t="s">
        <v>295</v>
      </c>
      <c r="G7" s="33" t="s">
        <v>296</v>
      </c>
      <c r="H7" s="33" t="s">
        <v>297</v>
      </c>
    </row>
    <row r="8" spans="1:9" ht="24" customHeight="1" x14ac:dyDescent="0.3">
      <c r="A8" s="119" t="s">
        <v>298</v>
      </c>
      <c r="B8" s="119"/>
      <c r="C8" s="119"/>
      <c r="D8" s="119"/>
      <c r="E8" s="119"/>
      <c r="F8" s="119"/>
      <c r="G8" s="119"/>
      <c r="H8" s="119"/>
      <c r="I8" s="119"/>
    </row>
    <row r="9" spans="1:9" ht="39.75" customHeight="1" x14ac:dyDescent="0.3">
      <c r="A9" s="38">
        <v>1</v>
      </c>
      <c r="B9" s="39" t="s">
        <v>299</v>
      </c>
      <c r="C9" s="40" t="s">
        <v>300</v>
      </c>
      <c r="D9" s="41" t="s">
        <v>301</v>
      </c>
      <c r="E9" s="42" t="s">
        <v>302</v>
      </c>
      <c r="F9" s="43"/>
      <c r="G9" s="44" t="s">
        <v>303</v>
      </c>
      <c r="H9" s="45" t="s">
        <v>304</v>
      </c>
    </row>
    <row r="10" spans="1:9" ht="39.75" customHeight="1" x14ac:dyDescent="0.3">
      <c r="A10" s="46">
        <v>2</v>
      </c>
      <c r="B10" s="47" t="s">
        <v>299</v>
      </c>
      <c r="C10" s="48" t="s">
        <v>305</v>
      </c>
      <c r="D10" s="41" t="s">
        <v>306</v>
      </c>
      <c r="E10" s="42" t="s">
        <v>307</v>
      </c>
      <c r="F10" s="43"/>
      <c r="G10" s="49" t="s">
        <v>308</v>
      </c>
      <c r="H10" s="50" t="s">
        <v>309</v>
      </c>
    </row>
    <row r="11" spans="1:9" ht="39.75" customHeight="1" x14ac:dyDescent="0.3">
      <c r="A11" s="38">
        <v>3</v>
      </c>
      <c r="B11" s="39" t="s">
        <v>299</v>
      </c>
      <c r="C11" s="40" t="s">
        <v>310</v>
      </c>
      <c r="D11" s="41" t="s">
        <v>311</v>
      </c>
      <c r="E11" s="42" t="s">
        <v>312</v>
      </c>
      <c r="F11" s="43"/>
      <c r="G11" s="44" t="s">
        <v>313</v>
      </c>
      <c r="H11" s="45" t="s">
        <v>314</v>
      </c>
    </row>
    <row r="12" spans="1:9" ht="39.75" customHeight="1" x14ac:dyDescent="0.3">
      <c r="A12" s="46">
        <v>4</v>
      </c>
      <c r="B12" s="47" t="s">
        <v>299</v>
      </c>
      <c r="C12" s="48" t="s">
        <v>315</v>
      </c>
      <c r="D12" s="41" t="s">
        <v>316</v>
      </c>
      <c r="E12" s="42" t="s">
        <v>317</v>
      </c>
      <c r="F12" s="43"/>
      <c r="G12" s="49" t="s">
        <v>318</v>
      </c>
      <c r="H12" s="50" t="s">
        <v>319</v>
      </c>
    </row>
    <row r="13" spans="1:9" ht="6.75" customHeight="1" x14ac:dyDescent="0.3"/>
    <row r="14" spans="1:9" ht="24" customHeight="1" x14ac:dyDescent="0.3">
      <c r="A14" s="120" t="s">
        <v>320</v>
      </c>
      <c r="B14" s="120"/>
      <c r="C14" s="120"/>
      <c r="D14" s="120"/>
      <c r="E14" s="120"/>
      <c r="F14" s="120"/>
      <c r="G14" s="120"/>
      <c r="H14" s="120"/>
      <c r="I14" s="120"/>
    </row>
    <row r="15" spans="1:9" ht="39.75" customHeight="1" x14ac:dyDescent="0.3">
      <c r="A15" s="51">
        <v>5</v>
      </c>
      <c r="B15" s="52" t="s">
        <v>321</v>
      </c>
      <c r="C15" s="40" t="s">
        <v>322</v>
      </c>
      <c r="D15" s="53" t="s">
        <v>301</v>
      </c>
      <c r="E15" s="54" t="s">
        <v>323</v>
      </c>
      <c r="F15" s="55"/>
      <c r="G15" s="44" t="s">
        <v>324</v>
      </c>
      <c r="H15" s="45" t="s">
        <v>325</v>
      </c>
    </row>
    <row r="16" spans="1:9" ht="39.75" customHeight="1" x14ac:dyDescent="0.3">
      <c r="A16" s="56">
        <v>6</v>
      </c>
      <c r="B16" s="57" t="s">
        <v>321</v>
      </c>
      <c r="C16" s="48" t="s">
        <v>326</v>
      </c>
      <c r="D16" s="53" t="s">
        <v>306</v>
      </c>
      <c r="E16" s="54" t="s">
        <v>327</v>
      </c>
      <c r="F16" s="55"/>
      <c r="G16" s="49" t="s">
        <v>328</v>
      </c>
      <c r="H16" s="50" t="s">
        <v>329</v>
      </c>
    </row>
    <row r="17" spans="1:9" ht="39.75" customHeight="1" x14ac:dyDescent="0.3">
      <c r="A17" s="51">
        <v>7</v>
      </c>
      <c r="B17" s="52" t="s">
        <v>321</v>
      </c>
      <c r="C17" s="40" t="s">
        <v>330</v>
      </c>
      <c r="D17" s="53" t="s">
        <v>311</v>
      </c>
      <c r="E17" s="54" t="s">
        <v>331</v>
      </c>
      <c r="F17" s="55"/>
      <c r="G17" s="44" t="s">
        <v>332</v>
      </c>
      <c r="H17" s="45" t="s">
        <v>333</v>
      </c>
    </row>
    <row r="18" spans="1:9" ht="39.75" customHeight="1" x14ac:dyDescent="0.3">
      <c r="A18" s="56">
        <v>8</v>
      </c>
      <c r="B18" s="57" t="s">
        <v>321</v>
      </c>
      <c r="C18" s="48" t="s">
        <v>334</v>
      </c>
      <c r="D18" s="53" t="s">
        <v>316</v>
      </c>
      <c r="E18" s="54" t="s">
        <v>335</v>
      </c>
      <c r="F18" s="55"/>
      <c r="G18" s="49" t="s">
        <v>336</v>
      </c>
      <c r="H18" s="50" t="s">
        <v>337</v>
      </c>
    </row>
    <row r="19" spans="1:9" ht="6.75" customHeight="1" x14ac:dyDescent="0.3"/>
    <row r="20" spans="1:9" ht="24" customHeight="1" x14ac:dyDescent="0.3">
      <c r="A20" s="121" t="s">
        <v>338</v>
      </c>
      <c r="B20" s="121"/>
      <c r="C20" s="121"/>
      <c r="D20" s="121"/>
      <c r="E20" s="121"/>
      <c r="F20" s="121"/>
      <c r="G20" s="121"/>
      <c r="H20" s="121"/>
      <c r="I20" s="121"/>
    </row>
    <row r="21" spans="1:9" ht="39.75" customHeight="1" x14ac:dyDescent="0.3">
      <c r="A21" s="58">
        <v>9</v>
      </c>
      <c r="B21" s="59" t="s">
        <v>339</v>
      </c>
      <c r="C21" s="40" t="s">
        <v>340</v>
      </c>
      <c r="D21" s="60" t="s">
        <v>301</v>
      </c>
      <c r="E21" s="61" t="s">
        <v>341</v>
      </c>
      <c r="F21" s="62"/>
      <c r="G21" s="44" t="s">
        <v>342</v>
      </c>
      <c r="H21" s="45">
        <f>IFERROR(L2*M2/100,"Commission Unavailable")</f>
        <v>0</v>
      </c>
    </row>
    <row r="22" spans="1:9" ht="39.75" customHeight="1" x14ac:dyDescent="0.3">
      <c r="A22" s="63">
        <v>10</v>
      </c>
      <c r="B22" s="64" t="s">
        <v>339</v>
      </c>
      <c r="C22" s="48" t="s">
        <v>343</v>
      </c>
      <c r="D22" s="60" t="s">
        <v>344</v>
      </c>
      <c r="E22" s="61" t="s">
        <v>345</v>
      </c>
      <c r="F22" s="62"/>
      <c r="G22" s="49" t="s">
        <v>346</v>
      </c>
      <c r="H22" s="50" t="str">
        <f>IFERROR(VLOOKUP("EMP-025",Corp_Database!$A$1:$X$61,3,FALSE()),"Employee Record Not Found")</f>
        <v>Sales</v>
      </c>
    </row>
    <row r="23" spans="1:9" ht="39.75" customHeight="1" x14ac:dyDescent="0.3">
      <c r="A23" s="58">
        <v>11</v>
      </c>
      <c r="B23" s="59" t="s">
        <v>339</v>
      </c>
      <c r="C23" s="40" t="s">
        <v>347</v>
      </c>
      <c r="D23" s="60" t="s">
        <v>344</v>
      </c>
      <c r="E23" s="61" t="s">
        <v>348</v>
      </c>
      <c r="F23" s="62"/>
      <c r="G23" s="44" t="s">
        <v>349</v>
      </c>
      <c r="H23" s="45">
        <f>IFERROR(VLOOKUP("EMP-099",Corp_Database!$A$1:$X$61,17,FALSE()),0)</f>
        <v>0</v>
      </c>
    </row>
    <row r="24" spans="1:9" ht="39.75" customHeight="1" x14ac:dyDescent="0.3">
      <c r="A24" s="63">
        <v>12</v>
      </c>
      <c r="B24" s="64" t="s">
        <v>339</v>
      </c>
      <c r="C24" s="48" t="s">
        <v>350</v>
      </c>
      <c r="D24" s="60" t="s">
        <v>301</v>
      </c>
      <c r="E24" s="61" t="s">
        <v>302</v>
      </c>
      <c r="F24" s="62"/>
      <c r="G24" s="49" t="s">
        <v>351</v>
      </c>
      <c r="H24" s="50" t="str">
        <f ca="1">IFERROR(_xludf.ifs(N2&gt;=90,"A - Outstanding",N2&gt;=75,"B - Exceeds",N2&gt;=60,"C - Meets",TRUE(),"D - Below"),"Score Invalid")</f>
        <v>Score Invalid</v>
      </c>
    </row>
    <row r="25" spans="1:9" ht="18" customHeight="1" x14ac:dyDescent="0.3">
      <c r="A25" s="112" t="s">
        <v>352</v>
      </c>
      <c r="B25" s="112"/>
      <c r="C25" s="112"/>
      <c r="D25" s="112"/>
      <c r="E25" s="112"/>
      <c r="F25" s="112"/>
      <c r="G25" s="112"/>
      <c r="H25" s="112"/>
      <c r="I25" s="112"/>
    </row>
  </sheetData>
  <mergeCells count="7">
    <mergeCell ref="A20:I20"/>
    <mergeCell ref="A25:I25"/>
    <mergeCell ref="A3:I3"/>
    <mergeCell ref="A4:I4"/>
    <mergeCell ref="A5:I5"/>
    <mergeCell ref="A8:I8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2"/>
  <sheetViews>
    <sheetView showGridLines="0" tabSelected="1" zoomScaleNormal="100" workbookViewId="0">
      <pane ySplit="7" topLeftCell="A21" activePane="bottomLeft" state="frozen"/>
      <selection pane="bottomLeft" activeCell="J9" sqref="J9:J10"/>
    </sheetView>
  </sheetViews>
  <sheetFormatPr defaultColWidth="8.6640625" defaultRowHeight="14.4" x14ac:dyDescent="0.3"/>
  <cols>
    <col min="1" max="1" width="4" customWidth="1"/>
    <col min="2" max="2" width="12" customWidth="1"/>
    <col min="3" max="3" width="44" customWidth="1"/>
    <col min="4" max="4" width="13" customWidth="1"/>
    <col min="5" max="8" width="16" customWidth="1"/>
    <col min="9" max="9" width="3" customWidth="1"/>
    <col min="10" max="10" width="36" customWidth="1"/>
    <col min="11" max="11" width="20" customWidth="1"/>
  </cols>
  <sheetData>
    <row r="1" spans="1:11" ht="69.75" customHeight="1" x14ac:dyDescent="0.3"/>
    <row r="2" spans="1:11" ht="6.75" customHeight="1" x14ac:dyDescent="0.3"/>
    <row r="3" spans="1:11" ht="36" customHeight="1" x14ac:dyDescent="0.3">
      <c r="A3" s="122" t="s">
        <v>353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</row>
    <row r="4" spans="1:11" ht="19.5" customHeight="1" x14ac:dyDescent="0.3">
      <c r="A4" s="114" t="s">
        <v>354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</row>
    <row r="5" spans="1:11" ht="18" customHeight="1" x14ac:dyDescent="0.3">
      <c r="A5" s="118" t="s">
        <v>355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</row>
    <row r="6" spans="1:11" ht="6.75" customHeight="1" x14ac:dyDescent="0.3"/>
    <row r="7" spans="1:11" ht="39.75" customHeight="1" x14ac:dyDescent="0.3">
      <c r="A7" s="65" t="s">
        <v>290</v>
      </c>
      <c r="B7" s="65" t="s">
        <v>356</v>
      </c>
      <c r="C7" s="65" t="s">
        <v>357</v>
      </c>
      <c r="D7" s="65" t="s">
        <v>358</v>
      </c>
      <c r="E7" s="65" t="s">
        <v>359</v>
      </c>
      <c r="F7" s="65" t="s">
        <v>360</v>
      </c>
      <c r="G7" s="65" t="s">
        <v>361</v>
      </c>
      <c r="H7" s="65" t="s">
        <v>362</v>
      </c>
      <c r="I7" s="65"/>
      <c r="J7" s="65" t="s">
        <v>363</v>
      </c>
      <c r="K7" s="65" t="s">
        <v>364</v>
      </c>
    </row>
    <row r="8" spans="1:11" ht="25.5" customHeight="1" x14ac:dyDescent="0.3">
      <c r="A8" s="123" t="s">
        <v>365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</row>
    <row r="9" spans="1:11" ht="31.5" customHeight="1" x14ac:dyDescent="0.3">
      <c r="A9" s="124">
        <v>1</v>
      </c>
      <c r="B9" s="125" t="s">
        <v>366</v>
      </c>
      <c r="C9" s="126" t="s">
        <v>367</v>
      </c>
      <c r="D9" s="127" t="s">
        <v>368</v>
      </c>
      <c r="E9" s="66" t="s">
        <v>34</v>
      </c>
      <c r="F9" s="67"/>
      <c r="G9" s="67"/>
      <c r="H9" s="67"/>
      <c r="I9" s="128"/>
      <c r="J9" s="129"/>
      <c r="K9" s="130" t="s">
        <v>369</v>
      </c>
    </row>
    <row r="10" spans="1:11" ht="31.5" customHeight="1" x14ac:dyDescent="0.3">
      <c r="A10" s="124"/>
      <c r="B10" s="124"/>
      <c r="C10" s="124"/>
      <c r="D10" s="124"/>
      <c r="E10" s="68" t="s">
        <v>82</v>
      </c>
      <c r="F10" s="67"/>
      <c r="G10" s="67"/>
      <c r="H10" s="67"/>
      <c r="I10" s="128"/>
      <c r="J10" s="129"/>
      <c r="K10" s="130"/>
    </row>
    <row r="11" spans="1:11" ht="4.5" customHeight="1" x14ac:dyDescent="0.3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</row>
    <row r="12" spans="1:11" ht="31.5" customHeight="1" x14ac:dyDescent="0.3">
      <c r="A12" s="131">
        <v>2</v>
      </c>
      <c r="B12" s="132" t="s">
        <v>366</v>
      </c>
      <c r="C12" s="133" t="s">
        <v>370</v>
      </c>
      <c r="D12" s="127" t="s">
        <v>371</v>
      </c>
      <c r="E12" s="66" t="s">
        <v>36</v>
      </c>
      <c r="F12" s="67"/>
      <c r="G12" s="66" t="s">
        <v>39</v>
      </c>
      <c r="H12" s="67"/>
      <c r="I12" s="128"/>
      <c r="J12" s="129"/>
      <c r="K12" s="134" t="s">
        <v>372</v>
      </c>
    </row>
    <row r="13" spans="1:11" ht="31.5" customHeight="1" x14ac:dyDescent="0.3">
      <c r="A13" s="131"/>
      <c r="B13" s="131"/>
      <c r="C13" s="131"/>
      <c r="D13" s="131"/>
      <c r="E13" s="68" t="s">
        <v>84</v>
      </c>
      <c r="F13" s="67"/>
      <c r="G13" s="68" t="s">
        <v>112</v>
      </c>
      <c r="H13" s="67"/>
      <c r="I13" s="128"/>
      <c r="J13" s="129"/>
      <c r="K13" s="134"/>
    </row>
    <row r="14" spans="1:11" ht="31.5" customHeight="1" x14ac:dyDescent="0.3">
      <c r="A14" s="131"/>
      <c r="B14" s="131"/>
      <c r="C14" s="131"/>
      <c r="D14" s="131"/>
      <c r="I14" s="128"/>
      <c r="J14" s="129"/>
      <c r="K14" s="134"/>
    </row>
    <row r="15" spans="1:11" ht="4.5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ht="25.5" customHeight="1" x14ac:dyDescent="0.3">
      <c r="A16" s="135" t="s">
        <v>373</v>
      </c>
      <c r="B16" s="135"/>
      <c r="C16" s="135"/>
      <c r="D16" s="135"/>
      <c r="E16" s="135"/>
      <c r="F16" s="135"/>
      <c r="G16" s="135"/>
      <c r="H16" s="135"/>
      <c r="I16" s="135"/>
      <c r="J16" s="135"/>
      <c r="K16" s="135"/>
    </row>
    <row r="17" spans="1:11" ht="31.5" customHeight="1" x14ac:dyDescent="0.3">
      <c r="A17" s="124">
        <v>3</v>
      </c>
      <c r="B17" s="125" t="s">
        <v>374</v>
      </c>
      <c r="C17" s="126" t="s">
        <v>375</v>
      </c>
      <c r="D17" s="127" t="s">
        <v>376</v>
      </c>
      <c r="E17" s="70" t="s">
        <v>34</v>
      </c>
      <c r="F17" s="67"/>
      <c r="G17" s="67"/>
      <c r="H17" s="67"/>
      <c r="I17" s="128"/>
      <c r="J17" s="129"/>
      <c r="K17" s="130" t="s">
        <v>377</v>
      </c>
    </row>
    <row r="18" spans="1:11" ht="31.5" customHeight="1" x14ac:dyDescent="0.3">
      <c r="A18" s="124"/>
      <c r="B18" s="124"/>
      <c r="C18" s="124"/>
      <c r="D18" s="124"/>
      <c r="E18" s="71" t="s">
        <v>93</v>
      </c>
      <c r="F18" s="67"/>
      <c r="G18" s="67"/>
      <c r="H18" s="67"/>
      <c r="I18" s="128"/>
      <c r="J18" s="129"/>
      <c r="K18" s="130"/>
    </row>
    <row r="19" spans="1:11" ht="4.5" customHeight="1" x14ac:dyDescent="0.3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</row>
    <row r="20" spans="1:11" ht="31.5" customHeight="1" x14ac:dyDescent="0.3">
      <c r="A20" s="131">
        <v>4</v>
      </c>
      <c r="B20" s="132" t="s">
        <v>374</v>
      </c>
      <c r="C20" s="133" t="s">
        <v>378</v>
      </c>
      <c r="D20" s="127" t="s">
        <v>379</v>
      </c>
      <c r="E20" s="70" t="s">
        <v>34</v>
      </c>
      <c r="F20" s="67"/>
      <c r="G20" s="70" t="s">
        <v>47</v>
      </c>
      <c r="H20" s="67"/>
      <c r="I20" s="128"/>
      <c r="J20" s="129"/>
      <c r="K20" s="134" t="s">
        <v>380</v>
      </c>
    </row>
    <row r="21" spans="1:11" ht="31.5" customHeight="1" x14ac:dyDescent="0.3">
      <c r="A21" s="131"/>
      <c r="B21" s="131"/>
      <c r="C21" s="131"/>
      <c r="D21" s="131"/>
      <c r="E21" s="71" t="s">
        <v>107</v>
      </c>
      <c r="F21" s="67"/>
      <c r="G21" s="71" t="s">
        <v>381</v>
      </c>
      <c r="H21" s="67"/>
      <c r="I21" s="128"/>
      <c r="J21" s="129"/>
      <c r="K21" s="134"/>
    </row>
    <row r="22" spans="1:11" ht="31.5" customHeight="1" x14ac:dyDescent="0.3">
      <c r="A22" s="131"/>
      <c r="B22" s="131"/>
      <c r="C22" s="131"/>
      <c r="D22" s="131"/>
      <c r="I22" s="128"/>
      <c r="J22" s="129"/>
      <c r="K22" s="134"/>
    </row>
    <row r="23" spans="1:11" ht="4.5" customHeight="1" x14ac:dyDescent="0.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</row>
    <row r="24" spans="1:11" ht="25.5" customHeight="1" x14ac:dyDescent="0.3">
      <c r="A24" s="136" t="s">
        <v>382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</row>
    <row r="25" spans="1:11" ht="31.5" customHeight="1" x14ac:dyDescent="0.3">
      <c r="A25" s="124">
        <v>5</v>
      </c>
      <c r="B25" s="125" t="s">
        <v>383</v>
      </c>
      <c r="C25" s="126" t="s">
        <v>384</v>
      </c>
      <c r="D25" s="127" t="s">
        <v>385</v>
      </c>
      <c r="E25" s="72" t="s">
        <v>41</v>
      </c>
      <c r="F25" s="67"/>
      <c r="G25" s="67"/>
      <c r="H25" s="67"/>
      <c r="I25" s="128"/>
      <c r="J25" s="129"/>
      <c r="K25" s="130" t="s">
        <v>386</v>
      </c>
    </row>
    <row r="26" spans="1:11" ht="31.5" customHeight="1" x14ac:dyDescent="0.3">
      <c r="A26" s="124"/>
      <c r="B26" s="124"/>
      <c r="C26" s="124"/>
      <c r="D26" s="124"/>
      <c r="E26" s="73" t="s">
        <v>387</v>
      </c>
      <c r="F26" s="67"/>
      <c r="G26" s="67"/>
      <c r="H26" s="67"/>
      <c r="I26" s="128"/>
      <c r="J26" s="129"/>
      <c r="K26" s="130"/>
    </row>
    <row r="27" spans="1:11" ht="4.5" customHeight="1" x14ac:dyDescent="0.3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</row>
    <row r="28" spans="1:11" ht="31.5" customHeight="1" x14ac:dyDescent="0.3">
      <c r="A28" s="131">
        <v>6</v>
      </c>
      <c r="B28" s="132" t="s">
        <v>383</v>
      </c>
      <c r="C28" s="133" t="s">
        <v>388</v>
      </c>
      <c r="D28" s="127" t="s">
        <v>389</v>
      </c>
      <c r="E28" s="70" t="s">
        <v>36</v>
      </c>
      <c r="F28" s="67"/>
      <c r="G28" s="70" t="s">
        <v>41</v>
      </c>
      <c r="H28" s="67"/>
      <c r="I28" s="128"/>
      <c r="J28" s="129"/>
      <c r="K28" s="134" t="s">
        <v>390</v>
      </c>
    </row>
    <row r="29" spans="1:11" ht="31.5" customHeight="1" x14ac:dyDescent="0.3">
      <c r="A29" s="131"/>
      <c r="B29" s="131"/>
      <c r="C29" s="131"/>
      <c r="D29" s="131"/>
      <c r="E29" s="74" t="s">
        <v>94</v>
      </c>
      <c r="F29" s="67"/>
      <c r="G29" s="74" t="s">
        <v>391</v>
      </c>
      <c r="H29" s="67"/>
      <c r="I29" s="128"/>
      <c r="J29" s="129"/>
      <c r="K29" s="134"/>
    </row>
    <row r="30" spans="1:11" ht="31.5" customHeight="1" x14ac:dyDescent="0.3">
      <c r="A30" s="131"/>
      <c r="B30" s="131"/>
      <c r="C30" s="131"/>
      <c r="D30" s="131"/>
      <c r="E30" s="75" t="s">
        <v>391</v>
      </c>
      <c r="F30" s="67"/>
      <c r="G30" s="67"/>
      <c r="H30" s="67"/>
      <c r="I30" s="128"/>
      <c r="J30" s="129"/>
      <c r="K30" s="134"/>
    </row>
    <row r="31" spans="1:11" ht="4.5" customHeight="1" x14ac:dyDescent="0.3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</row>
    <row r="32" spans="1:11" ht="25.5" customHeight="1" x14ac:dyDescent="0.3">
      <c r="A32" s="137" t="s">
        <v>392</v>
      </c>
      <c r="B32" s="137"/>
      <c r="C32" s="137"/>
      <c r="D32" s="137"/>
      <c r="E32" s="137"/>
      <c r="F32" s="137"/>
      <c r="G32" s="137"/>
      <c r="H32" s="137"/>
      <c r="I32" s="137"/>
      <c r="J32" s="137"/>
      <c r="K32" s="137"/>
    </row>
    <row r="33" spans="1:11" ht="31.5" customHeight="1" x14ac:dyDescent="0.3">
      <c r="A33" s="124">
        <v>7</v>
      </c>
      <c r="B33" s="125" t="s">
        <v>393</v>
      </c>
      <c r="C33" s="126" t="s">
        <v>394</v>
      </c>
      <c r="D33" s="127" t="s">
        <v>395</v>
      </c>
      <c r="E33" s="66" t="s">
        <v>34</v>
      </c>
      <c r="F33" s="67"/>
      <c r="G33" s="67"/>
      <c r="H33" s="67"/>
      <c r="I33" s="128"/>
      <c r="J33" s="129"/>
      <c r="K33" s="130" t="s">
        <v>396</v>
      </c>
    </row>
    <row r="34" spans="1:11" ht="31.5" customHeight="1" x14ac:dyDescent="0.3">
      <c r="A34" s="124"/>
      <c r="B34" s="124"/>
      <c r="C34" s="124"/>
      <c r="D34" s="124"/>
      <c r="E34" s="68" t="s">
        <v>126</v>
      </c>
      <c r="F34" s="67"/>
      <c r="G34" s="67"/>
      <c r="H34" s="67"/>
      <c r="I34" s="128"/>
      <c r="J34" s="129"/>
      <c r="K34" s="130"/>
    </row>
    <row r="35" spans="1:11" ht="4.5" customHeight="1" x14ac:dyDescent="0.3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</row>
    <row r="36" spans="1:11" ht="31.5" customHeight="1" x14ac:dyDescent="0.3">
      <c r="A36" s="131">
        <v>8</v>
      </c>
      <c r="B36" s="132" t="s">
        <v>393</v>
      </c>
      <c r="C36" s="133" t="s">
        <v>397</v>
      </c>
      <c r="D36" s="127" t="s">
        <v>398</v>
      </c>
      <c r="E36" s="66" t="s">
        <v>34</v>
      </c>
      <c r="F36" s="67"/>
      <c r="G36" s="66" t="s">
        <v>49</v>
      </c>
      <c r="H36" s="67"/>
      <c r="I36" s="128"/>
      <c r="J36" s="129"/>
      <c r="K36" s="134" t="s">
        <v>399</v>
      </c>
    </row>
    <row r="37" spans="1:11" ht="31.5" customHeight="1" x14ac:dyDescent="0.3">
      <c r="A37" s="131"/>
      <c r="B37" s="131"/>
      <c r="C37" s="131"/>
      <c r="D37" s="131"/>
      <c r="E37" s="68" t="s">
        <v>118</v>
      </c>
      <c r="F37" s="67"/>
      <c r="G37" s="68" t="s">
        <v>89</v>
      </c>
      <c r="H37" s="67"/>
      <c r="I37" s="128"/>
      <c r="J37" s="129"/>
      <c r="K37" s="134"/>
    </row>
    <row r="38" spans="1:11" ht="31.5" customHeight="1" x14ac:dyDescent="0.3">
      <c r="A38" s="131"/>
      <c r="B38" s="131"/>
      <c r="C38" s="131"/>
      <c r="D38" s="131"/>
      <c r="I38" s="128"/>
      <c r="J38" s="129"/>
      <c r="K38" s="134"/>
    </row>
    <row r="39" spans="1:11" ht="4.5" customHeight="1" x14ac:dyDescent="0.3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</row>
    <row r="40" spans="1:11" ht="25.5" customHeight="1" x14ac:dyDescent="0.3">
      <c r="A40" s="138" t="s">
        <v>400</v>
      </c>
      <c r="B40" s="138"/>
      <c r="C40" s="138"/>
      <c r="D40" s="138"/>
      <c r="E40" s="138"/>
      <c r="F40" s="138"/>
      <c r="G40" s="138"/>
      <c r="H40" s="138"/>
      <c r="I40" s="138"/>
      <c r="J40" s="138"/>
      <c r="K40" s="138"/>
    </row>
    <row r="41" spans="1:11" ht="31.5" customHeight="1" x14ac:dyDescent="0.3">
      <c r="A41" s="124">
        <v>9</v>
      </c>
      <c r="B41" s="125" t="s">
        <v>401</v>
      </c>
      <c r="C41" s="126" t="s">
        <v>402</v>
      </c>
      <c r="D41" s="127" t="s">
        <v>403</v>
      </c>
      <c r="E41" s="76" t="s">
        <v>38</v>
      </c>
      <c r="F41" s="67"/>
      <c r="G41" s="67"/>
      <c r="H41" s="67"/>
      <c r="I41" s="128"/>
      <c r="J41" s="129"/>
      <c r="K41" s="130" t="s">
        <v>369</v>
      </c>
    </row>
    <row r="42" spans="1:11" ht="31.5" customHeight="1" x14ac:dyDescent="0.3">
      <c r="A42" s="124"/>
      <c r="B42" s="124"/>
      <c r="C42" s="124"/>
      <c r="D42" s="124"/>
      <c r="E42" s="77" t="s">
        <v>86</v>
      </c>
      <c r="F42" s="67"/>
      <c r="G42" s="67"/>
      <c r="H42" s="67"/>
      <c r="I42" s="128"/>
      <c r="J42" s="129"/>
      <c r="K42" s="130"/>
    </row>
    <row r="43" spans="1:11" ht="4.5" customHeight="1" x14ac:dyDescent="0.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</row>
    <row r="44" spans="1:11" ht="31.5" customHeight="1" x14ac:dyDescent="0.3">
      <c r="A44" s="131">
        <v>10</v>
      </c>
      <c r="B44" s="132" t="s">
        <v>401</v>
      </c>
      <c r="C44" s="133" t="s">
        <v>404</v>
      </c>
      <c r="D44" s="127" t="s">
        <v>405</v>
      </c>
      <c r="E44" s="76" t="s">
        <v>34</v>
      </c>
      <c r="F44" s="67"/>
      <c r="G44" s="76" t="s">
        <v>39</v>
      </c>
      <c r="H44" s="67"/>
      <c r="I44" s="128"/>
      <c r="J44" s="129"/>
      <c r="K44" s="134" t="s">
        <v>406</v>
      </c>
    </row>
    <row r="45" spans="1:11" ht="31.5" customHeight="1" x14ac:dyDescent="0.3">
      <c r="A45" s="131"/>
      <c r="B45" s="131"/>
      <c r="C45" s="131"/>
      <c r="D45" s="131"/>
      <c r="E45" s="77" t="s">
        <v>93</v>
      </c>
      <c r="F45" s="67"/>
      <c r="G45" s="77" t="s">
        <v>87</v>
      </c>
      <c r="H45" s="67"/>
      <c r="I45" s="128"/>
      <c r="J45" s="129"/>
      <c r="K45" s="134"/>
    </row>
    <row r="46" spans="1:11" ht="31.5" customHeight="1" x14ac:dyDescent="0.3">
      <c r="A46" s="131"/>
      <c r="B46" s="131"/>
      <c r="C46" s="131"/>
      <c r="D46" s="131"/>
      <c r="I46" s="128"/>
      <c r="J46" s="129"/>
      <c r="K46" s="134"/>
    </row>
    <row r="47" spans="1:11" ht="4.5" customHeight="1" x14ac:dyDescent="0.3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</row>
    <row r="48" spans="1:11" ht="25.5" customHeight="1" x14ac:dyDescent="0.3">
      <c r="A48" s="139" t="s">
        <v>407</v>
      </c>
      <c r="B48" s="139"/>
      <c r="C48" s="139"/>
      <c r="D48" s="139"/>
      <c r="E48" s="139"/>
      <c r="F48" s="139"/>
      <c r="G48" s="139"/>
      <c r="H48" s="139"/>
      <c r="I48" s="139"/>
      <c r="J48" s="139"/>
      <c r="K48" s="139"/>
    </row>
    <row r="49" spans="1:11" ht="31.5" customHeight="1" x14ac:dyDescent="0.3">
      <c r="A49" s="124">
        <v>11</v>
      </c>
      <c r="B49" s="125" t="s">
        <v>408</v>
      </c>
      <c r="C49" s="126" t="s">
        <v>409</v>
      </c>
      <c r="D49" s="127" t="s">
        <v>410</v>
      </c>
      <c r="E49" s="78" t="s">
        <v>34</v>
      </c>
      <c r="F49" s="67"/>
      <c r="G49" s="67"/>
      <c r="H49" s="67"/>
      <c r="I49" s="128"/>
      <c r="J49" s="129"/>
      <c r="K49" s="130" t="s">
        <v>369</v>
      </c>
    </row>
    <row r="50" spans="1:11" ht="31.5" customHeight="1" x14ac:dyDescent="0.3">
      <c r="A50" s="124"/>
      <c r="B50" s="124"/>
      <c r="C50" s="124"/>
      <c r="D50" s="124"/>
      <c r="E50" s="79" t="s">
        <v>100</v>
      </c>
      <c r="F50" s="67"/>
      <c r="G50" s="67"/>
      <c r="H50" s="67"/>
      <c r="I50" s="128"/>
      <c r="J50" s="129"/>
      <c r="K50" s="130"/>
    </row>
    <row r="51" spans="1:11" ht="4.5" customHeight="1" x14ac:dyDescent="0.3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</row>
    <row r="52" spans="1:11" ht="31.5" customHeight="1" x14ac:dyDescent="0.3">
      <c r="A52" s="131">
        <v>12</v>
      </c>
      <c r="B52" s="132" t="s">
        <v>408</v>
      </c>
      <c r="C52" s="133" t="s">
        <v>411</v>
      </c>
      <c r="D52" s="127" t="s">
        <v>412</v>
      </c>
      <c r="E52" s="78" t="s">
        <v>34</v>
      </c>
      <c r="F52" s="67"/>
      <c r="G52" s="78" t="s">
        <v>36</v>
      </c>
      <c r="H52" s="67"/>
      <c r="I52" s="128"/>
      <c r="J52" s="129"/>
      <c r="K52" s="134" t="s">
        <v>413</v>
      </c>
    </row>
    <row r="53" spans="1:11" ht="31.5" customHeight="1" x14ac:dyDescent="0.3">
      <c r="A53" s="131"/>
      <c r="B53" s="131"/>
      <c r="C53" s="131"/>
      <c r="D53" s="131"/>
      <c r="E53" s="79" t="s">
        <v>107</v>
      </c>
      <c r="F53" s="67"/>
      <c r="G53" s="79" t="s">
        <v>109</v>
      </c>
      <c r="H53" s="67"/>
      <c r="I53" s="128"/>
      <c r="J53" s="129"/>
      <c r="K53" s="134"/>
    </row>
    <row r="54" spans="1:11" ht="31.5" customHeight="1" x14ac:dyDescent="0.3">
      <c r="A54" s="131"/>
      <c r="B54" s="131"/>
      <c r="C54" s="131"/>
      <c r="D54" s="131"/>
      <c r="I54" s="128"/>
      <c r="J54" s="129"/>
      <c r="K54" s="134"/>
    </row>
    <row r="55" spans="1:11" ht="4.5" customHeight="1" x14ac:dyDescent="0.3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</row>
    <row r="56" spans="1:11" ht="25.5" customHeight="1" x14ac:dyDescent="0.3">
      <c r="A56" s="123" t="s">
        <v>414</v>
      </c>
      <c r="B56" s="123"/>
      <c r="C56" s="123"/>
      <c r="D56" s="123"/>
      <c r="E56" s="123"/>
      <c r="F56" s="123"/>
      <c r="G56" s="123"/>
      <c r="H56" s="123"/>
      <c r="I56" s="123"/>
      <c r="J56" s="123"/>
      <c r="K56" s="123"/>
    </row>
    <row r="57" spans="1:11" ht="31.5" customHeight="1" x14ac:dyDescent="0.3">
      <c r="A57" s="124">
        <v>13</v>
      </c>
      <c r="B57" s="125" t="s">
        <v>415</v>
      </c>
      <c r="C57" s="126" t="s">
        <v>416</v>
      </c>
      <c r="D57" s="127" t="s">
        <v>417</v>
      </c>
      <c r="E57" s="80" t="s">
        <v>34</v>
      </c>
      <c r="F57" s="67"/>
      <c r="G57" s="67"/>
      <c r="H57" s="67"/>
      <c r="I57" s="128"/>
      <c r="J57" s="129"/>
      <c r="K57" s="130" t="s">
        <v>418</v>
      </c>
    </row>
    <row r="58" spans="1:11" ht="31.5" customHeight="1" x14ac:dyDescent="0.3">
      <c r="A58" s="124"/>
      <c r="B58" s="124"/>
      <c r="C58" s="124"/>
      <c r="D58" s="124"/>
      <c r="E58" s="81" t="s">
        <v>133</v>
      </c>
      <c r="F58" s="67"/>
      <c r="G58" s="67"/>
      <c r="H58" s="67"/>
      <c r="I58" s="128"/>
      <c r="J58" s="129"/>
      <c r="K58" s="130"/>
    </row>
    <row r="59" spans="1:11" ht="4.5" customHeight="1" x14ac:dyDescent="0.3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</row>
    <row r="60" spans="1:11" ht="31.5" customHeight="1" x14ac:dyDescent="0.3">
      <c r="A60" s="131">
        <v>14</v>
      </c>
      <c r="B60" s="132" t="s">
        <v>415</v>
      </c>
      <c r="C60" s="133" t="s">
        <v>419</v>
      </c>
      <c r="D60" s="127" t="s">
        <v>420</v>
      </c>
      <c r="E60" s="80" t="s">
        <v>36</v>
      </c>
      <c r="F60" s="67"/>
      <c r="G60" s="80" t="s">
        <v>52</v>
      </c>
      <c r="H60" s="67"/>
      <c r="I60" s="128"/>
      <c r="J60" s="129"/>
      <c r="K60" s="134" t="s">
        <v>421</v>
      </c>
    </row>
    <row r="61" spans="1:11" ht="31.5" customHeight="1" x14ac:dyDescent="0.3">
      <c r="A61" s="131"/>
      <c r="B61" s="131"/>
      <c r="C61" s="131"/>
      <c r="D61" s="131"/>
      <c r="E61" s="81" t="s">
        <v>120</v>
      </c>
      <c r="F61" s="67"/>
      <c r="G61" s="81" t="s">
        <v>422</v>
      </c>
      <c r="H61" s="67"/>
      <c r="I61" s="128"/>
      <c r="J61" s="129"/>
      <c r="K61" s="134"/>
    </row>
    <row r="62" spans="1:11" ht="31.5" customHeight="1" x14ac:dyDescent="0.3">
      <c r="A62" s="131"/>
      <c r="B62" s="131"/>
      <c r="C62" s="131"/>
      <c r="D62" s="131"/>
      <c r="I62" s="128"/>
      <c r="J62" s="129"/>
      <c r="K62" s="134"/>
    </row>
    <row r="63" spans="1:11" ht="4.5" customHeight="1" x14ac:dyDescent="0.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</row>
    <row r="64" spans="1:11" ht="25.5" customHeight="1" x14ac:dyDescent="0.3">
      <c r="A64" s="140" t="s">
        <v>423</v>
      </c>
      <c r="B64" s="140"/>
      <c r="C64" s="140"/>
      <c r="D64" s="140"/>
      <c r="E64" s="140"/>
      <c r="F64" s="140"/>
      <c r="G64" s="140"/>
      <c r="H64" s="140"/>
      <c r="I64" s="140"/>
      <c r="J64" s="140"/>
      <c r="K64" s="140"/>
    </row>
    <row r="65" spans="1:11" ht="31.5" customHeight="1" x14ac:dyDescent="0.3">
      <c r="A65" s="124">
        <v>15</v>
      </c>
      <c r="B65" s="125" t="s">
        <v>424</v>
      </c>
      <c r="C65" s="126" t="s">
        <v>425</v>
      </c>
      <c r="D65" s="127" t="s">
        <v>426</v>
      </c>
      <c r="E65" s="82" t="s">
        <v>32</v>
      </c>
      <c r="F65" s="67"/>
      <c r="G65" s="67"/>
      <c r="H65" s="67"/>
      <c r="I65" s="128"/>
      <c r="J65" s="129"/>
      <c r="K65" s="130" t="s">
        <v>427</v>
      </c>
    </row>
    <row r="66" spans="1:11" ht="31.5" customHeight="1" x14ac:dyDescent="0.3">
      <c r="A66" s="124"/>
      <c r="B66" s="124"/>
      <c r="C66" s="124"/>
      <c r="D66" s="124"/>
      <c r="E66" s="83" t="s">
        <v>131</v>
      </c>
      <c r="F66" s="67"/>
      <c r="G66" s="67"/>
      <c r="H66" s="67"/>
      <c r="I66" s="128"/>
      <c r="J66" s="129"/>
      <c r="K66" s="130"/>
    </row>
    <row r="67" spans="1:11" ht="4.5" customHeight="1" x14ac:dyDescent="0.3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</row>
    <row r="68" spans="1:11" ht="31.5" customHeight="1" x14ac:dyDescent="0.3">
      <c r="A68" s="131">
        <v>16</v>
      </c>
      <c r="B68" s="132" t="s">
        <v>424</v>
      </c>
      <c r="C68" s="133" t="s">
        <v>428</v>
      </c>
      <c r="D68" s="127" t="s">
        <v>429</v>
      </c>
      <c r="E68" s="82" t="s">
        <v>32</v>
      </c>
      <c r="F68" s="67"/>
      <c r="G68" s="67"/>
      <c r="H68" s="67"/>
      <c r="I68" s="128"/>
      <c r="J68" s="129"/>
      <c r="K68" s="134" t="s">
        <v>430</v>
      </c>
    </row>
    <row r="69" spans="1:11" ht="31.5" customHeight="1" x14ac:dyDescent="0.3">
      <c r="A69" s="131"/>
      <c r="B69" s="131"/>
      <c r="C69" s="131"/>
      <c r="D69" s="131"/>
      <c r="E69" s="83" t="s">
        <v>169</v>
      </c>
      <c r="F69" s="67"/>
      <c r="G69" s="67"/>
      <c r="H69" s="67"/>
      <c r="I69" s="128"/>
      <c r="J69" s="129"/>
      <c r="K69" s="134"/>
    </row>
    <row r="70" spans="1:11" ht="4.5" customHeight="1" x14ac:dyDescent="0.3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</row>
    <row r="72" spans="1:11" ht="21.75" customHeight="1" x14ac:dyDescent="0.3">
      <c r="A72" s="112" t="s">
        <v>431</v>
      </c>
      <c r="B72" s="112"/>
      <c r="C72" s="112"/>
      <c r="D72" s="112"/>
      <c r="E72" s="112"/>
      <c r="F72" s="112"/>
      <c r="G72" s="112"/>
      <c r="H72" s="112"/>
      <c r="I72" s="112"/>
      <c r="J72" s="112"/>
      <c r="K72" s="112"/>
    </row>
  </sheetData>
  <mergeCells count="124">
    <mergeCell ref="A68:A69"/>
    <mergeCell ref="B68:B69"/>
    <mergeCell ref="C68:C69"/>
    <mergeCell ref="D68:D69"/>
    <mergeCell ref="I68:I69"/>
    <mergeCell ref="J68:J69"/>
    <mergeCell ref="K68:K69"/>
    <mergeCell ref="A72:K72"/>
    <mergeCell ref="A60:A62"/>
    <mergeCell ref="B60:B62"/>
    <mergeCell ref="C60:C62"/>
    <mergeCell ref="D60:D62"/>
    <mergeCell ref="I60:I62"/>
    <mergeCell ref="J60:J62"/>
    <mergeCell ref="K60:K62"/>
    <mergeCell ref="A64:K64"/>
    <mergeCell ref="A65:A66"/>
    <mergeCell ref="B65:B66"/>
    <mergeCell ref="C65:C66"/>
    <mergeCell ref="D65:D66"/>
    <mergeCell ref="I65:I66"/>
    <mergeCell ref="J65:J66"/>
    <mergeCell ref="K65:K66"/>
    <mergeCell ref="A52:A54"/>
    <mergeCell ref="B52:B54"/>
    <mergeCell ref="C52:C54"/>
    <mergeCell ref="D52:D54"/>
    <mergeCell ref="I52:I54"/>
    <mergeCell ref="J52:J54"/>
    <mergeCell ref="K52:K54"/>
    <mergeCell ref="A56:K56"/>
    <mergeCell ref="A57:A58"/>
    <mergeCell ref="B57:B58"/>
    <mergeCell ref="C57:C58"/>
    <mergeCell ref="D57:D58"/>
    <mergeCell ref="I57:I58"/>
    <mergeCell ref="J57:J58"/>
    <mergeCell ref="K57:K58"/>
    <mergeCell ref="A44:A46"/>
    <mergeCell ref="B44:B46"/>
    <mergeCell ref="C44:C46"/>
    <mergeCell ref="D44:D46"/>
    <mergeCell ref="I44:I46"/>
    <mergeCell ref="J44:J46"/>
    <mergeCell ref="K44:K46"/>
    <mergeCell ref="A48:K48"/>
    <mergeCell ref="A49:A50"/>
    <mergeCell ref="B49:B50"/>
    <mergeCell ref="C49:C50"/>
    <mergeCell ref="D49:D50"/>
    <mergeCell ref="I49:I50"/>
    <mergeCell ref="J49:J50"/>
    <mergeCell ref="K49:K50"/>
    <mergeCell ref="A36:A38"/>
    <mergeCell ref="B36:B38"/>
    <mergeCell ref="C36:C38"/>
    <mergeCell ref="D36:D38"/>
    <mergeCell ref="I36:I38"/>
    <mergeCell ref="J36:J38"/>
    <mergeCell ref="K36:K38"/>
    <mergeCell ref="A40:K40"/>
    <mergeCell ref="A41:A42"/>
    <mergeCell ref="B41:B42"/>
    <mergeCell ref="C41:C42"/>
    <mergeCell ref="D41:D42"/>
    <mergeCell ref="I41:I42"/>
    <mergeCell ref="J41:J42"/>
    <mergeCell ref="K41:K42"/>
    <mergeCell ref="A28:A30"/>
    <mergeCell ref="B28:B30"/>
    <mergeCell ref="C28:C30"/>
    <mergeCell ref="D28:D30"/>
    <mergeCell ref="I28:I30"/>
    <mergeCell ref="J28:J30"/>
    <mergeCell ref="K28:K30"/>
    <mergeCell ref="A32:K32"/>
    <mergeCell ref="A33:A34"/>
    <mergeCell ref="B33:B34"/>
    <mergeCell ref="C33:C34"/>
    <mergeCell ref="D33:D34"/>
    <mergeCell ref="I33:I34"/>
    <mergeCell ref="J33:J34"/>
    <mergeCell ref="K33:K34"/>
    <mergeCell ref="A20:A22"/>
    <mergeCell ref="B20:B22"/>
    <mergeCell ref="C20:C22"/>
    <mergeCell ref="D20:D22"/>
    <mergeCell ref="I20:I22"/>
    <mergeCell ref="J20:J22"/>
    <mergeCell ref="K20:K22"/>
    <mergeCell ref="A24:K24"/>
    <mergeCell ref="A25:A26"/>
    <mergeCell ref="B25:B26"/>
    <mergeCell ref="C25:C26"/>
    <mergeCell ref="D25:D26"/>
    <mergeCell ref="I25:I26"/>
    <mergeCell ref="J25:J26"/>
    <mergeCell ref="K25:K26"/>
    <mergeCell ref="A12:A14"/>
    <mergeCell ref="B12:B14"/>
    <mergeCell ref="C12:C14"/>
    <mergeCell ref="D12:D14"/>
    <mergeCell ref="I12:I14"/>
    <mergeCell ref="J12:J14"/>
    <mergeCell ref="K12:K14"/>
    <mergeCell ref="A16:K16"/>
    <mergeCell ref="A17:A18"/>
    <mergeCell ref="B17:B18"/>
    <mergeCell ref="C17:C18"/>
    <mergeCell ref="D17:D18"/>
    <mergeCell ref="I17:I18"/>
    <mergeCell ref="J17:J18"/>
    <mergeCell ref="K17:K18"/>
    <mergeCell ref="A3:K3"/>
    <mergeCell ref="A4:K4"/>
    <mergeCell ref="A5:K5"/>
    <mergeCell ref="A8:K8"/>
    <mergeCell ref="A9:A10"/>
    <mergeCell ref="B9:B10"/>
    <mergeCell ref="C9:C10"/>
    <mergeCell ref="D9:D10"/>
    <mergeCell ref="I9:I10"/>
    <mergeCell ref="J9:J10"/>
    <mergeCell ref="K9:K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6640625" defaultRowHeight="14.4" x14ac:dyDescent="0.3"/>
  <cols>
    <col min="1" max="1" width="4" customWidth="1"/>
    <col min="2" max="2" width="12" customWidth="1"/>
    <col min="3" max="3" width="44" customWidth="1"/>
    <col min="4" max="4" width="14" customWidth="1"/>
    <col min="5" max="6" width="20" customWidth="1"/>
    <col min="7" max="7" width="16" customWidth="1"/>
    <col min="8" max="8" width="40" customWidth="1"/>
    <col min="9" max="9" width="18" customWidth="1"/>
  </cols>
  <sheetData>
    <row r="1" spans="1:9" ht="69.75" customHeight="1" x14ac:dyDescent="0.3"/>
    <row r="2" spans="1:9" ht="6.75" customHeight="1" x14ac:dyDescent="0.3"/>
    <row r="3" spans="1:9" ht="36" customHeight="1" x14ac:dyDescent="0.3">
      <c r="A3" s="141" t="s">
        <v>432</v>
      </c>
      <c r="B3" s="141"/>
      <c r="C3" s="141"/>
      <c r="D3" s="141"/>
      <c r="E3" s="141"/>
      <c r="F3" s="141"/>
      <c r="G3" s="141"/>
      <c r="H3" s="141"/>
      <c r="I3" s="141"/>
    </row>
    <row r="4" spans="1:9" ht="19.5" customHeight="1" x14ac:dyDescent="0.3">
      <c r="A4" s="142" t="s">
        <v>433</v>
      </c>
      <c r="B4" s="142"/>
      <c r="C4" s="142"/>
      <c r="D4" s="142"/>
      <c r="E4" s="142"/>
      <c r="F4" s="142"/>
      <c r="G4" s="142"/>
      <c r="H4" s="142"/>
      <c r="I4" s="142"/>
    </row>
    <row r="5" spans="1:9" ht="18" customHeight="1" x14ac:dyDescent="0.3">
      <c r="A5" s="142" t="s">
        <v>434</v>
      </c>
      <c r="B5" s="142"/>
      <c r="C5" s="142"/>
      <c r="D5" s="142"/>
      <c r="E5" s="142"/>
      <c r="F5" s="142"/>
      <c r="G5" s="142"/>
      <c r="H5" s="142"/>
      <c r="I5" s="142"/>
    </row>
    <row r="6" spans="1:9" ht="6.75" customHeight="1" x14ac:dyDescent="0.3"/>
    <row r="7" spans="1:9" ht="39.75" customHeight="1" x14ac:dyDescent="0.3">
      <c r="A7" s="84" t="s">
        <v>290</v>
      </c>
      <c r="B7" s="84" t="s">
        <v>356</v>
      </c>
      <c r="C7" s="84" t="s">
        <v>435</v>
      </c>
      <c r="D7" s="84" t="s">
        <v>436</v>
      </c>
      <c r="E7" s="84" t="s">
        <v>437</v>
      </c>
      <c r="F7" s="84" t="s">
        <v>438</v>
      </c>
      <c r="G7" s="84" t="s">
        <v>439</v>
      </c>
      <c r="H7" s="84" t="s">
        <v>440</v>
      </c>
      <c r="I7" s="84" t="s">
        <v>296</v>
      </c>
    </row>
    <row r="8" spans="1:9" ht="25.5" customHeight="1" x14ac:dyDescent="0.3">
      <c r="A8" s="137" t="s">
        <v>441</v>
      </c>
      <c r="B8" s="137"/>
      <c r="C8" s="137"/>
      <c r="D8" s="137"/>
      <c r="E8" s="137"/>
      <c r="F8" s="137"/>
      <c r="G8" s="137"/>
      <c r="H8" s="137"/>
      <c r="I8" s="137"/>
    </row>
    <row r="9" spans="1:9" ht="42" customHeight="1" x14ac:dyDescent="0.3">
      <c r="A9" s="38">
        <v>1</v>
      </c>
      <c r="B9" s="39" t="s">
        <v>442</v>
      </c>
      <c r="C9" s="40" t="s">
        <v>443</v>
      </c>
      <c r="D9" s="42" t="s">
        <v>152</v>
      </c>
      <c r="E9" s="85" t="s">
        <v>444</v>
      </c>
      <c r="F9" s="85" t="s">
        <v>445</v>
      </c>
      <c r="G9" s="86" t="s">
        <v>446</v>
      </c>
      <c r="H9" s="43"/>
      <c r="I9" s="44" t="s">
        <v>447</v>
      </c>
    </row>
    <row r="10" spans="1:9" ht="42" customHeight="1" x14ac:dyDescent="0.3">
      <c r="A10" s="46">
        <v>2</v>
      </c>
      <c r="B10" s="47" t="s">
        <v>442</v>
      </c>
      <c r="C10" s="48" t="s">
        <v>448</v>
      </c>
      <c r="D10" s="42" t="s">
        <v>195</v>
      </c>
      <c r="E10" s="87" t="s">
        <v>449</v>
      </c>
      <c r="F10" s="87" t="s">
        <v>450</v>
      </c>
      <c r="G10" s="88" t="s">
        <v>451</v>
      </c>
      <c r="H10" s="43"/>
      <c r="I10" s="49" t="s">
        <v>452</v>
      </c>
    </row>
    <row r="11" spans="1:9" ht="42" customHeight="1" x14ac:dyDescent="0.3">
      <c r="A11" s="38">
        <v>3</v>
      </c>
      <c r="B11" s="39" t="s">
        <v>442</v>
      </c>
      <c r="C11" s="40" t="s">
        <v>453</v>
      </c>
      <c r="D11" s="42" t="s">
        <v>225</v>
      </c>
      <c r="E11" s="85" t="s">
        <v>449</v>
      </c>
      <c r="F11" s="85" t="s">
        <v>454</v>
      </c>
      <c r="G11" s="86" t="s">
        <v>451</v>
      </c>
      <c r="H11" s="43"/>
      <c r="I11" s="44" t="s">
        <v>455</v>
      </c>
    </row>
    <row r="12" spans="1:9" ht="42" customHeight="1" x14ac:dyDescent="0.3">
      <c r="A12" s="46">
        <v>4</v>
      </c>
      <c r="B12" s="47" t="s">
        <v>442</v>
      </c>
      <c r="C12" s="48" t="s">
        <v>456</v>
      </c>
      <c r="D12" s="42" t="s">
        <v>172</v>
      </c>
      <c r="E12" s="87" t="s">
        <v>449</v>
      </c>
      <c r="F12" s="87" t="s">
        <v>457</v>
      </c>
      <c r="G12" s="88" t="s">
        <v>451</v>
      </c>
      <c r="H12" s="43"/>
      <c r="I12" s="49" t="s">
        <v>458</v>
      </c>
    </row>
    <row r="13" spans="1:9" ht="42" customHeight="1" x14ac:dyDescent="0.3">
      <c r="A13" s="38">
        <v>5</v>
      </c>
      <c r="B13" s="39" t="s">
        <v>442</v>
      </c>
      <c r="C13" s="40" t="s">
        <v>459</v>
      </c>
      <c r="D13" s="42" t="s">
        <v>241</v>
      </c>
      <c r="E13" s="85" t="s">
        <v>449</v>
      </c>
      <c r="F13" s="85" t="s">
        <v>460</v>
      </c>
      <c r="G13" s="86" t="s">
        <v>451</v>
      </c>
      <c r="H13" s="43"/>
      <c r="I13" s="44" t="s">
        <v>452</v>
      </c>
    </row>
    <row r="14" spans="1:9" ht="42" customHeight="1" x14ac:dyDescent="0.3">
      <c r="A14" s="46">
        <v>6</v>
      </c>
      <c r="B14" s="47" t="s">
        <v>442</v>
      </c>
      <c r="C14" s="48" t="s">
        <v>461</v>
      </c>
      <c r="D14" s="42" t="s">
        <v>462</v>
      </c>
      <c r="E14" s="87" t="s">
        <v>463</v>
      </c>
      <c r="F14" s="87" t="s">
        <v>464</v>
      </c>
      <c r="G14" s="88" t="s">
        <v>465</v>
      </c>
      <c r="H14" s="43"/>
      <c r="I14" s="49" t="s">
        <v>466</v>
      </c>
    </row>
    <row r="15" spans="1:9" ht="6.75" customHeight="1" x14ac:dyDescent="0.3"/>
    <row r="16" spans="1:9" ht="25.5" customHeight="1" x14ac:dyDescent="0.3">
      <c r="A16" s="135" t="s">
        <v>467</v>
      </c>
      <c r="B16" s="135"/>
      <c r="C16" s="135"/>
      <c r="D16" s="135"/>
      <c r="E16" s="135"/>
      <c r="F16" s="135"/>
      <c r="G16" s="135"/>
      <c r="H16" s="135"/>
      <c r="I16" s="135"/>
    </row>
    <row r="17" spans="1:9" ht="42" customHeight="1" x14ac:dyDescent="0.3">
      <c r="A17" s="89">
        <v>7</v>
      </c>
      <c r="B17" s="90" t="s">
        <v>468</v>
      </c>
      <c r="C17" s="40" t="s">
        <v>469</v>
      </c>
      <c r="D17" s="91" t="s">
        <v>470</v>
      </c>
      <c r="E17" s="85" t="s">
        <v>471</v>
      </c>
      <c r="F17" s="85" t="s">
        <v>472</v>
      </c>
      <c r="G17" s="92" t="s">
        <v>451</v>
      </c>
      <c r="H17" s="93"/>
      <c r="I17" s="44" t="s">
        <v>452</v>
      </c>
    </row>
    <row r="18" spans="1:9" ht="42" customHeight="1" x14ac:dyDescent="0.3">
      <c r="A18" s="94">
        <v>8</v>
      </c>
      <c r="B18" s="95" t="s">
        <v>468</v>
      </c>
      <c r="C18" s="48" t="s">
        <v>473</v>
      </c>
      <c r="D18" s="91" t="s">
        <v>474</v>
      </c>
      <c r="E18" s="87" t="s">
        <v>475</v>
      </c>
      <c r="F18" s="87" t="s">
        <v>476</v>
      </c>
      <c r="G18" s="96" t="s">
        <v>451</v>
      </c>
      <c r="H18" s="93"/>
      <c r="I18" s="49" t="s">
        <v>477</v>
      </c>
    </row>
    <row r="19" spans="1:9" ht="42" customHeight="1" x14ac:dyDescent="0.3">
      <c r="A19" s="89">
        <v>9</v>
      </c>
      <c r="B19" s="90" t="s">
        <v>468</v>
      </c>
      <c r="C19" s="40" t="s">
        <v>478</v>
      </c>
      <c r="D19" s="91" t="s">
        <v>479</v>
      </c>
      <c r="E19" s="85" t="s">
        <v>475</v>
      </c>
      <c r="F19" s="85" t="s">
        <v>480</v>
      </c>
      <c r="G19" s="92" t="s">
        <v>451</v>
      </c>
      <c r="H19" s="93"/>
      <c r="I19" s="44" t="s">
        <v>481</v>
      </c>
    </row>
    <row r="20" spans="1:9" ht="42" customHeight="1" x14ac:dyDescent="0.3">
      <c r="A20" s="94">
        <v>10</v>
      </c>
      <c r="B20" s="95" t="s">
        <v>468</v>
      </c>
      <c r="C20" s="48" t="s">
        <v>482</v>
      </c>
      <c r="D20" s="91" t="s">
        <v>483</v>
      </c>
      <c r="E20" s="87" t="s">
        <v>475</v>
      </c>
      <c r="F20" s="87" t="s">
        <v>484</v>
      </c>
      <c r="G20" s="96" t="s">
        <v>451</v>
      </c>
      <c r="H20" s="93"/>
      <c r="I20" s="49" t="s">
        <v>452</v>
      </c>
    </row>
    <row r="21" spans="1:9" ht="42" customHeight="1" x14ac:dyDescent="0.3">
      <c r="A21" s="89">
        <v>11</v>
      </c>
      <c r="B21" s="90" t="s">
        <v>468</v>
      </c>
      <c r="C21" s="40" t="s">
        <v>485</v>
      </c>
      <c r="D21" s="91" t="s">
        <v>486</v>
      </c>
      <c r="E21" s="85" t="s">
        <v>487</v>
      </c>
      <c r="F21" s="85" t="s">
        <v>488</v>
      </c>
      <c r="G21" s="92" t="s">
        <v>465</v>
      </c>
      <c r="H21" s="93"/>
      <c r="I21" s="44" t="s">
        <v>452</v>
      </c>
    </row>
    <row r="22" spans="1:9" ht="42" customHeight="1" x14ac:dyDescent="0.3">
      <c r="A22" s="94">
        <v>12</v>
      </c>
      <c r="B22" s="95" t="s">
        <v>468</v>
      </c>
      <c r="C22" s="48" t="s">
        <v>489</v>
      </c>
      <c r="D22" s="91" t="s">
        <v>490</v>
      </c>
      <c r="E22" s="87" t="s">
        <v>475</v>
      </c>
      <c r="F22" s="87" t="s">
        <v>491</v>
      </c>
      <c r="G22" s="96" t="s">
        <v>451</v>
      </c>
      <c r="H22" s="93"/>
      <c r="I22" s="49" t="s">
        <v>492</v>
      </c>
    </row>
    <row r="23" spans="1:9" ht="15.75" customHeight="1" x14ac:dyDescent="0.3">
      <c r="A23" s="114" t="s">
        <v>493</v>
      </c>
      <c r="B23" s="114"/>
      <c r="C23" s="114"/>
      <c r="D23" s="114"/>
      <c r="E23" s="114"/>
      <c r="F23" s="114"/>
      <c r="G23" s="114"/>
      <c r="H23" s="114"/>
      <c r="I23" s="114"/>
    </row>
    <row r="24" spans="1:9" ht="24" customHeight="1" x14ac:dyDescent="0.3">
      <c r="A24" s="29" t="s">
        <v>494</v>
      </c>
      <c r="B24" s="97" t="s">
        <v>107</v>
      </c>
      <c r="C24" s="98" t="s">
        <v>495</v>
      </c>
    </row>
    <row r="25" spans="1:9" ht="6.75" customHeight="1" x14ac:dyDescent="0.3"/>
    <row r="26" spans="1:9" ht="25.5" customHeight="1" x14ac:dyDescent="0.3">
      <c r="A26" s="140" t="s">
        <v>496</v>
      </c>
      <c r="B26" s="140"/>
      <c r="C26" s="140"/>
      <c r="D26" s="140"/>
      <c r="E26" s="140"/>
      <c r="F26" s="140"/>
      <c r="G26" s="140"/>
      <c r="H26" s="140"/>
      <c r="I26" s="140"/>
    </row>
    <row r="27" spans="1:9" ht="42" customHeight="1" x14ac:dyDescent="0.3">
      <c r="A27" s="99">
        <v>13</v>
      </c>
      <c r="B27" s="100" t="s">
        <v>497</v>
      </c>
      <c r="C27" s="40" t="s">
        <v>498</v>
      </c>
      <c r="D27" s="101" t="s">
        <v>208</v>
      </c>
      <c r="E27" s="85" t="s">
        <v>499</v>
      </c>
      <c r="F27" s="85" t="s">
        <v>500</v>
      </c>
      <c r="G27" s="102" t="s">
        <v>104</v>
      </c>
      <c r="H27" s="103"/>
      <c r="I27" s="44" t="s">
        <v>501</v>
      </c>
    </row>
    <row r="28" spans="1:9" ht="42" customHeight="1" x14ac:dyDescent="0.3">
      <c r="A28" s="104">
        <v>14</v>
      </c>
      <c r="B28" s="105" t="s">
        <v>497</v>
      </c>
      <c r="C28" s="48" t="s">
        <v>502</v>
      </c>
      <c r="D28" s="101" t="s">
        <v>235</v>
      </c>
      <c r="E28" s="87" t="s">
        <v>503</v>
      </c>
      <c r="F28" s="87" t="s">
        <v>504</v>
      </c>
      <c r="G28" s="106" t="s">
        <v>104</v>
      </c>
      <c r="H28" s="103"/>
      <c r="I28" s="49" t="s">
        <v>452</v>
      </c>
    </row>
    <row r="29" spans="1:9" ht="42" customHeight="1" x14ac:dyDescent="0.3">
      <c r="A29" s="99">
        <v>15</v>
      </c>
      <c r="B29" s="100" t="s">
        <v>497</v>
      </c>
      <c r="C29" s="40" t="s">
        <v>505</v>
      </c>
      <c r="D29" s="101" t="s">
        <v>506</v>
      </c>
      <c r="E29" s="85" t="s">
        <v>503</v>
      </c>
      <c r="F29" s="85" t="s">
        <v>507</v>
      </c>
      <c r="G29" s="102" t="s">
        <v>508</v>
      </c>
      <c r="H29" s="103"/>
      <c r="I29" s="44" t="s">
        <v>509</v>
      </c>
    </row>
    <row r="30" spans="1:9" ht="42" customHeight="1" x14ac:dyDescent="0.3">
      <c r="A30" s="104">
        <v>16</v>
      </c>
      <c r="B30" s="105" t="s">
        <v>497</v>
      </c>
      <c r="C30" s="48" t="s">
        <v>510</v>
      </c>
      <c r="D30" s="101" t="s">
        <v>511</v>
      </c>
      <c r="E30" s="87" t="s">
        <v>512</v>
      </c>
      <c r="F30" s="87" t="s">
        <v>513</v>
      </c>
      <c r="G30" s="106" t="s">
        <v>514</v>
      </c>
      <c r="H30" s="103"/>
      <c r="I30" s="49" t="s">
        <v>515</v>
      </c>
    </row>
    <row r="31" spans="1:9" ht="42" customHeight="1" x14ac:dyDescent="0.3">
      <c r="A31" s="99">
        <v>17</v>
      </c>
      <c r="B31" s="100" t="s">
        <v>497</v>
      </c>
      <c r="C31" s="40" t="s">
        <v>516</v>
      </c>
      <c r="D31" s="101" t="s">
        <v>517</v>
      </c>
      <c r="E31" s="85" t="s">
        <v>518</v>
      </c>
      <c r="F31" s="85" t="s">
        <v>513</v>
      </c>
      <c r="G31" s="102" t="s">
        <v>519</v>
      </c>
      <c r="H31" s="103"/>
      <c r="I31" s="44" t="s">
        <v>520</v>
      </c>
    </row>
    <row r="32" spans="1:9" ht="42" customHeight="1" x14ac:dyDescent="0.3">
      <c r="A32" s="104">
        <v>18</v>
      </c>
      <c r="B32" s="105" t="s">
        <v>497</v>
      </c>
      <c r="C32" s="48" t="s">
        <v>521</v>
      </c>
      <c r="D32" s="101" t="s">
        <v>522</v>
      </c>
      <c r="E32" s="87" t="s">
        <v>523</v>
      </c>
      <c r="F32" s="87" t="s">
        <v>518</v>
      </c>
      <c r="G32" s="106" t="s">
        <v>524</v>
      </c>
      <c r="H32" s="103"/>
      <c r="I32" s="49" t="s">
        <v>447</v>
      </c>
    </row>
    <row r="33" spans="1:9" ht="19.5" customHeight="1" x14ac:dyDescent="0.3">
      <c r="A33" s="112" t="s">
        <v>525</v>
      </c>
      <c r="B33" s="112"/>
      <c r="C33" s="112"/>
      <c r="D33" s="112"/>
      <c r="E33" s="112"/>
      <c r="F33" s="112"/>
      <c r="G33" s="112"/>
      <c r="H33" s="112"/>
      <c r="I33" s="112"/>
    </row>
  </sheetData>
  <mergeCells count="8">
    <mergeCell ref="A23:I23"/>
    <mergeCell ref="A26:I26"/>
    <mergeCell ref="A33:I33"/>
    <mergeCell ref="A3:I3"/>
    <mergeCell ref="A4:I4"/>
    <mergeCell ref="A5:I5"/>
    <mergeCell ref="A8:I8"/>
    <mergeCell ref="A16:I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Corp_Database</vt:lpstr>
      <vt:lpstr>Dept_KPI_Table</vt:lpstr>
      <vt:lpstr>Practice_IFS_SWITCH_IFERROR</vt:lpstr>
      <vt:lpstr>Practice_DFunctions</vt:lpstr>
      <vt:lpstr>Practice_Lookups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National Youth Computer Training Academy</cp:lastModifiedBy>
  <cp:revision>0</cp:revision>
  <dcterms:created xsi:type="dcterms:W3CDTF">2026-07-06T10:19:03Z</dcterms:created>
  <dcterms:modified xsi:type="dcterms:W3CDTF">2026-07-06T12:10:10Z</dcterms:modified>
  <dc:language>en-US</dc:language>
</cp:coreProperties>
</file>